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komakiaicedjp-my.sharepoint.com/personal/takeru-igami_komaki-aic_ed_jp/Documents/応時/その他/シゴデキ伊神/シゴデキ先生（これをコピー）/"/>
    </mc:Choice>
  </mc:AlternateContent>
  <xr:revisionPtr revIDLastSave="0" documentId="11_B32E9EE30787EB4D3CF26622976995DFF50ACE89" xr6:coauthVersionLast="47" xr6:coauthVersionMax="47" xr10:uidLastSave="{00000000-0000-0000-0000-000000000000}"/>
  <bookViews>
    <workbookView xWindow="-120" yWindow="-120" windowWidth="20730" windowHeight="11040" tabRatio="1000" activeTab="1" xr2:uid="{00000000-000D-0000-FFFF-FFFF00000000}"/>
  </bookViews>
  <sheets>
    <sheet name="リンク用" sheetId="183" r:id="rId1"/>
    <sheet name="時間割" sheetId="125" r:id="rId2"/>
    <sheet name="年間" sheetId="60" r:id="rId3"/>
    <sheet name="祝日リスト" sheetId="62" state="hidden" r:id="rId4"/>
    <sheet name="行事予定(一覧)" sheetId="182" r:id="rId5"/>
    <sheet name="1週目" sheetId="48" r:id="rId6"/>
    <sheet name="自由" sheetId="184" r:id="rId7"/>
    <sheet name="休日設定" sheetId="64" state="hidden" r:id="rId8"/>
  </sheets>
  <definedNames>
    <definedName name="_xlnm.Print_Area" localSheetId="5">'1週目'!$A$1:$M$22</definedName>
    <definedName name="_xlnm.Print_Area" localSheetId="0">リンク用!$AA$1:$AX$33</definedName>
    <definedName name="_xlnm.Print_Area" localSheetId="4">'行事予定(一覧)'!$AA$1:$AX$33</definedName>
    <definedName name="_xlnm.Print_Area" localSheetId="6">自由!$A$1:$M$22</definedName>
    <definedName name="_xlnm.Print_Area" localSheetId="2">年間!$A$1:$AJ$27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184" l="1"/>
  <c r="P2" i="184" s="1"/>
  <c r="I35" i="184" l="1"/>
  <c r="I38" i="184" s="1"/>
  <c r="I41" i="184" s="1"/>
  <c r="I44" i="184" s="1"/>
  <c r="I47" i="184" s="1"/>
  <c r="I50" i="184" s="1"/>
  <c r="K50" i="184" s="1"/>
  <c r="A2" i="60"/>
  <c r="G19" i="48" l="1"/>
  <c r="F19" i="48"/>
  <c r="E19" i="48"/>
  <c r="D19" i="48"/>
  <c r="C19" i="48"/>
  <c r="G17" i="48"/>
  <c r="F17" i="48"/>
  <c r="E17" i="48"/>
  <c r="D17" i="48"/>
  <c r="C17" i="48"/>
  <c r="G14" i="48"/>
  <c r="F14" i="48"/>
  <c r="E14" i="48"/>
  <c r="D14" i="48"/>
  <c r="C14" i="48"/>
  <c r="G12" i="48"/>
  <c r="F12" i="48"/>
  <c r="E12" i="48"/>
  <c r="D12" i="48"/>
  <c r="C12" i="48"/>
  <c r="G10" i="48"/>
  <c r="F10" i="48"/>
  <c r="E10" i="48"/>
  <c r="D10" i="48"/>
  <c r="C10" i="48"/>
  <c r="G8" i="48"/>
  <c r="F8" i="48"/>
  <c r="E8" i="48"/>
  <c r="D8" i="48"/>
  <c r="C8" i="48"/>
  <c r="AK7" i="183"/>
  <c r="AR5" i="183"/>
  <c r="AI4" i="183"/>
  <c r="AB25" i="183"/>
  <c r="AB5" i="183"/>
  <c r="AA18" i="183"/>
  <c r="A1" i="183"/>
  <c r="AW19" i="183" s="1"/>
  <c r="A1" i="60"/>
  <c r="AJ13" i="183" l="1"/>
  <c r="AN15" i="183"/>
  <c r="AG18" i="183"/>
  <c r="AR20" i="183"/>
  <c r="AE23" i="183"/>
  <c r="AP25" i="183"/>
  <c r="AI28" i="183"/>
  <c r="AL30" i="183"/>
  <c r="AM33" i="183"/>
  <c r="AV8" i="183"/>
  <c r="AS17" i="183"/>
  <c r="AX29" i="183"/>
  <c r="AA20" i="183"/>
  <c r="AF6" i="183"/>
  <c r="AL13" i="183"/>
  <c r="AO23" i="183"/>
  <c r="AF31" i="183"/>
  <c r="AU9" i="183"/>
  <c r="AA24" i="183"/>
  <c r="AP4" i="183"/>
  <c r="AM11" i="183"/>
  <c r="AE19" i="183"/>
  <c r="AN28" i="183"/>
  <c r="AV19" i="183"/>
  <c r="AA5" i="183"/>
  <c r="AR7" i="183"/>
  <c r="AL16" i="183"/>
  <c r="AO21" i="183"/>
  <c r="AP26" i="183"/>
  <c r="AF29" i="183"/>
  <c r="AV32" i="183"/>
  <c r="AW30" i="183"/>
  <c r="AT29" i="183"/>
  <c r="AX27" i="183"/>
  <c r="AU26" i="183"/>
  <c r="AX24" i="183"/>
  <c r="AX22" i="183"/>
  <c r="AV21" i="183"/>
  <c r="AT20" i="183"/>
  <c r="AV18" i="183"/>
  <c r="AW16" i="183"/>
  <c r="AT15" i="183"/>
  <c r="AX13" i="183"/>
  <c r="AU12" i="183"/>
  <c r="AX10" i="183"/>
  <c r="AX8" i="183"/>
  <c r="AV7" i="183"/>
  <c r="AT6" i="183"/>
  <c r="AV4" i="183"/>
  <c r="AS4" i="183"/>
  <c r="AC33" i="183"/>
  <c r="AI32" i="183"/>
  <c r="AQ31" i="183"/>
  <c r="AH31" i="183"/>
  <c r="AN30" i="183"/>
  <c r="AD30" i="183"/>
  <c r="AJ29" i="183"/>
  <c r="AQ28" i="183"/>
  <c r="AG28" i="183"/>
  <c r="AO27" i="183"/>
  <c r="AF27" i="183"/>
  <c r="AM26" i="183"/>
  <c r="AC26" i="183"/>
  <c r="AI25" i="183"/>
  <c r="AQ24" i="183"/>
  <c r="AH24" i="183"/>
  <c r="AN23" i="183"/>
  <c r="AD23" i="183"/>
  <c r="AJ22" i="183"/>
  <c r="AQ21" i="183"/>
  <c r="AG21" i="183"/>
  <c r="AO20" i="183"/>
  <c r="AF20" i="183"/>
  <c r="AM19" i="183"/>
  <c r="AC19" i="183"/>
  <c r="AI18" i="183"/>
  <c r="AQ17" i="183"/>
  <c r="AH17" i="183"/>
  <c r="AN16" i="183"/>
  <c r="AD16" i="183"/>
  <c r="AJ15" i="183"/>
  <c r="AQ14" i="183"/>
  <c r="AG14" i="183"/>
  <c r="AO13" i="183"/>
  <c r="AF13" i="183"/>
  <c r="AM12" i="183"/>
  <c r="AC12" i="183"/>
  <c r="AU32" i="183"/>
  <c r="AU30" i="183"/>
  <c r="AS29" i="183"/>
  <c r="AW27" i="183"/>
  <c r="AS26" i="183"/>
  <c r="AV24" i="183"/>
  <c r="AW22" i="183"/>
  <c r="AU21" i="183"/>
  <c r="AX19" i="183"/>
  <c r="AU18" i="183"/>
  <c r="AU16" i="183"/>
  <c r="AS15" i="183"/>
  <c r="AW13" i="183"/>
  <c r="AS12" i="183"/>
  <c r="AV10" i="183"/>
  <c r="AW8" i="183"/>
  <c r="AU7" i="183"/>
  <c r="AX5" i="183"/>
  <c r="AU4" i="183"/>
  <c r="AS33" i="183"/>
  <c r="AR32" i="183"/>
  <c r="AH32" i="183"/>
  <c r="AO31" i="183"/>
  <c r="AG31" i="183"/>
  <c r="AM30" i="183"/>
  <c r="AC30" i="183"/>
  <c r="AI29" i="183"/>
  <c r="AP28" i="183"/>
  <c r="AF28" i="183"/>
  <c r="AM27" i="183"/>
  <c r="AE27" i="183"/>
  <c r="AL26" i="183"/>
  <c r="AR25" i="183"/>
  <c r="AH25" i="183"/>
  <c r="AO24" i="183"/>
  <c r="AG24" i="183"/>
  <c r="AM23" i="183"/>
  <c r="AC23" i="183"/>
  <c r="AI22" i="183"/>
  <c r="AP21" i="183"/>
  <c r="AF21" i="183"/>
  <c r="AM20" i="183"/>
  <c r="AE20" i="183"/>
  <c r="AL19" i="183"/>
  <c r="AR18" i="183"/>
  <c r="AH18" i="183"/>
  <c r="AO17" i="183"/>
  <c r="AG17" i="183"/>
  <c r="AM16" i="183"/>
  <c r="AC16" i="183"/>
  <c r="AI15" i="183"/>
  <c r="AP14" i="183"/>
  <c r="AF14" i="183"/>
  <c r="AM13" i="183"/>
  <c r="AE13" i="183"/>
  <c r="AL12" i="183"/>
  <c r="AR11" i="183"/>
  <c r="AH11" i="183"/>
  <c r="AO10" i="183"/>
  <c r="AG10" i="183"/>
  <c r="AM9" i="183"/>
  <c r="AC9" i="183"/>
  <c r="AI8" i="183"/>
  <c r="AP7" i="183"/>
  <c r="AF7" i="183"/>
  <c r="AM6" i="183"/>
  <c r="AE6" i="183"/>
  <c r="AL5" i="183"/>
  <c r="AR4" i="183"/>
  <c r="AH4" i="183"/>
  <c r="AL3" i="183"/>
  <c r="AB27" i="183"/>
  <c r="AB18" i="183"/>
  <c r="AB9" i="183"/>
  <c r="AA32" i="183"/>
  <c r="AA23" i="183"/>
  <c r="AA13" i="183"/>
  <c r="AA4" i="183"/>
  <c r="AT32" i="183"/>
  <c r="AT30" i="183"/>
  <c r="AX28" i="183"/>
  <c r="AV27" i="183"/>
  <c r="AX25" i="183"/>
  <c r="AT24" i="183"/>
  <c r="AV22" i="183"/>
  <c r="AS32" i="183"/>
  <c r="AX31" i="183"/>
  <c r="AX32" i="183"/>
  <c r="AT31" i="183"/>
  <c r="AV29" i="183"/>
  <c r="AT28" i="183"/>
  <c r="AW26" i="183"/>
  <c r="AT25" i="183"/>
  <c r="AT23" i="183"/>
  <c r="AX21" i="183"/>
  <c r="AV20" i="183"/>
  <c r="AX18" i="183"/>
  <c r="AT17" i="183"/>
  <c r="AV15" i="183"/>
  <c r="AT14" i="183"/>
  <c r="AW12" i="183"/>
  <c r="AT11" i="183"/>
  <c r="AT9" i="183"/>
  <c r="AX7" i="183"/>
  <c r="AV6" i="183"/>
  <c r="AX4" i="183"/>
  <c r="AV3" i="183"/>
  <c r="AG33" i="183"/>
  <c r="AL32" i="183"/>
  <c r="AC32" i="183"/>
  <c r="AJ31" i="183"/>
  <c r="AP30" i="183"/>
  <c r="AG30" i="183"/>
  <c r="AM29" i="183"/>
  <c r="AC29" i="183"/>
  <c r="AJ28" i="183"/>
  <c r="AQ27" i="183"/>
  <c r="AH27" i="183"/>
  <c r="AO26" i="183"/>
  <c r="AF26" i="183"/>
  <c r="AL25" i="183"/>
  <c r="AC25" i="183"/>
  <c r="AJ24" i="183"/>
  <c r="AP23" i="183"/>
  <c r="AG23" i="183"/>
  <c r="AM22" i="183"/>
  <c r="AC22" i="183"/>
  <c r="AJ21" i="183"/>
  <c r="AQ20" i="183"/>
  <c r="AH20" i="183"/>
  <c r="AO19" i="183"/>
  <c r="AF19" i="183"/>
  <c r="AL18" i="183"/>
  <c r="AC18" i="183"/>
  <c r="AJ17" i="183"/>
  <c r="AP16" i="183"/>
  <c r="AG16" i="183"/>
  <c r="AM15" i="183"/>
  <c r="AC15" i="183"/>
  <c r="AJ14" i="183"/>
  <c r="AQ13" i="183"/>
  <c r="AH13" i="183"/>
  <c r="AO12" i="183"/>
  <c r="AF12" i="183"/>
  <c r="AL11" i="183"/>
  <c r="AC11" i="183"/>
  <c r="AJ10" i="183"/>
  <c r="AP9" i="183"/>
  <c r="AG9" i="183"/>
  <c r="AM8" i="183"/>
  <c r="AC8" i="183"/>
  <c r="AJ7" i="183"/>
  <c r="AQ6" i="183"/>
  <c r="AH6" i="183"/>
  <c r="AO5" i="183"/>
  <c r="AF5" i="183"/>
  <c r="AL4" i="183"/>
  <c r="AC4" i="183"/>
  <c r="AB31" i="183"/>
  <c r="AB22" i="183"/>
  <c r="AB12" i="183"/>
  <c r="AB3" i="183"/>
  <c r="AA26" i="183"/>
  <c r="AA17" i="183"/>
  <c r="AA7" i="183"/>
  <c r="AW32" i="183"/>
  <c r="AS31" i="183"/>
  <c r="AU29" i="183"/>
  <c r="AS28" i="183"/>
  <c r="AV26" i="183"/>
  <c r="AS25" i="183"/>
  <c r="AS23" i="183"/>
  <c r="AW29" i="183"/>
  <c r="AV25" i="183"/>
  <c r="AW21" i="183"/>
  <c r="AU19" i="183"/>
  <c r="AT16" i="183"/>
  <c r="AU14" i="183"/>
  <c r="AW11" i="183"/>
  <c r="AS9" i="183"/>
  <c r="AX6" i="183"/>
  <c r="AT4" i="183"/>
  <c r="AK33" i="183"/>
  <c r="AF32" i="183"/>
  <c r="AI31" i="183"/>
  <c r="AI30" i="183"/>
  <c r="AH29" i="183"/>
  <c r="AK28" i="183"/>
  <c r="AK27" i="183"/>
  <c r="AN26" i="183"/>
  <c r="AN25" i="183"/>
  <c r="AN24" i="183"/>
  <c r="AR23" i="183"/>
  <c r="AP22" i="183"/>
  <c r="AR21" i="183"/>
  <c r="AC21" i="183"/>
  <c r="AD20" i="183"/>
  <c r="AG19" i="183"/>
  <c r="AF18" i="183"/>
  <c r="AI17" i="183"/>
  <c r="AI16" i="183"/>
  <c r="AH15" i="183"/>
  <c r="AK14" i="183"/>
  <c r="AK13" i="183"/>
  <c r="AN12" i="183"/>
  <c r="AN11" i="183"/>
  <c r="AR10" i="183"/>
  <c r="AF10" i="183"/>
  <c r="AI9" i="183"/>
  <c r="AK8" i="183"/>
  <c r="AO7" i="183"/>
  <c r="AC7" i="183"/>
  <c r="AG6" i="183"/>
  <c r="AK5" i="183"/>
  <c r="AN4" i="183"/>
  <c r="AR3" i="183"/>
  <c r="AB26" i="183"/>
  <c r="AB15" i="183"/>
  <c r="AB32" i="183"/>
  <c r="AA21" i="183"/>
  <c r="AA10" i="183"/>
  <c r="AW28" i="183"/>
  <c r="AU25" i="183"/>
  <c r="AT21" i="183"/>
  <c r="AS19" i="183"/>
  <c r="AS16" i="183"/>
  <c r="AS14" i="183"/>
  <c r="AV28" i="183"/>
  <c r="AS24" i="183"/>
  <c r="AS21" i="183"/>
  <c r="AW18" i="183"/>
  <c r="AX15" i="183"/>
  <c r="AV13" i="183"/>
  <c r="AU11" i="183"/>
  <c r="AU8" i="183"/>
  <c r="AU6" i="183"/>
  <c r="AX3" i="183"/>
  <c r="AQ32" i="183"/>
  <c r="AD32" i="183"/>
  <c r="AD31" i="183"/>
  <c r="AE30" i="183"/>
  <c r="AE29" i="183"/>
  <c r="AE28" i="183"/>
  <c r="AI27" i="183"/>
  <c r="AJ26" i="183"/>
  <c r="AK25" i="183"/>
  <c r="AL24" i="183"/>
  <c r="AL23" i="183"/>
  <c r="AN22" i="183"/>
  <c r="AN21" i="183"/>
  <c r="AP20" i="183"/>
  <c r="AQ19" i="183"/>
  <c r="AQ18" i="183"/>
  <c r="AD18" i="183"/>
  <c r="AD17" i="183"/>
  <c r="AE16" i="183"/>
  <c r="AE15" i="183"/>
  <c r="AE14" i="183"/>
  <c r="AI13" i="183"/>
  <c r="AJ12" i="183"/>
  <c r="AK11" i="183"/>
  <c r="AN10" i="183"/>
  <c r="AC10" i="183"/>
  <c r="AE9" i="183"/>
  <c r="AH8" i="183"/>
  <c r="AL7" i="183"/>
  <c r="AP6" i="183"/>
  <c r="AD6" i="183"/>
  <c r="AH5" i="183"/>
  <c r="AK4" i="183"/>
  <c r="AJ3" i="183"/>
  <c r="AB24" i="183"/>
  <c r="AB11" i="183"/>
  <c r="AA31" i="183"/>
  <c r="AA19" i="183"/>
  <c r="AA6" i="183"/>
  <c r="AU28" i="183"/>
  <c r="AW23" i="183"/>
  <c r="AX20" i="183"/>
  <c r="AT18" i="183"/>
  <c r="AW15" i="183"/>
  <c r="AU13" i="183"/>
  <c r="AS11" i="183"/>
  <c r="AT8" i="183"/>
  <c r="AW5" i="183"/>
  <c r="AU33" i="183"/>
  <c r="AP32" i="183"/>
  <c r="AR31" i="183"/>
  <c r="AC31" i="183"/>
  <c r="AQ29" i="183"/>
  <c r="AD29" i="183"/>
  <c r="AD28" i="183"/>
  <c r="AG27" i="183"/>
  <c r="AH26" i="183"/>
  <c r="AG25" i="183"/>
  <c r="AK24" i="183"/>
  <c r="AJ23" i="183"/>
  <c r="AK22" i="183"/>
  <c r="AL21" i="183"/>
  <c r="AL20" i="183"/>
  <c r="AP19" i="183"/>
  <c r="AP18" i="183"/>
  <c r="AR17" i="183"/>
  <c r="AC17" i="183"/>
  <c r="AQ15" i="183"/>
  <c r="AD15" i="183"/>
  <c r="AD14" i="183"/>
  <c r="AG13" i="183"/>
  <c r="AH12" i="183"/>
  <c r="AI11" i="183"/>
  <c r="AM10" i="183"/>
  <c r="AR9" i="183"/>
  <c r="AU27" i="183"/>
  <c r="AU23" i="183"/>
  <c r="AW20" i="183"/>
  <c r="AS18" i="183"/>
  <c r="AU15" i="183"/>
  <c r="AT13" i="183"/>
  <c r="AT10" i="183"/>
  <c r="AS8" i="183"/>
  <c r="AV5" i="183"/>
  <c r="AT3" i="183"/>
  <c r="AN32" i="183"/>
  <c r="AN31" i="183"/>
  <c r="AR30" i="183"/>
  <c r="AP29" i="183"/>
  <c r="AR28" i="183"/>
  <c r="AC28" i="183"/>
  <c r="AD27" i="183"/>
  <c r="AG26" i="183"/>
  <c r="AF25" i="183"/>
  <c r="AI24" i="183"/>
  <c r="AI23" i="183"/>
  <c r="AH22" i="183"/>
  <c r="AK21" i="183"/>
  <c r="AK20" i="183"/>
  <c r="AN19" i="183"/>
  <c r="AN18" i="183"/>
  <c r="AN17" i="183"/>
  <c r="AR16" i="183"/>
  <c r="AP15" i="183"/>
  <c r="AR14" i="183"/>
  <c r="AC14" i="183"/>
  <c r="AD13" i="183"/>
  <c r="AG12" i="183"/>
  <c r="AG11" i="183"/>
  <c r="AL10" i="183"/>
  <c r="AO9" i="183"/>
  <c r="AQ8" i="183"/>
  <c r="AE8" i="183"/>
  <c r="AI7" i="183"/>
  <c r="AL6" i="183"/>
  <c r="AQ5" i="183"/>
  <c r="AE5" i="183"/>
  <c r="AG4" i="183"/>
  <c r="AV31" i="183"/>
  <c r="AT27" i="183"/>
  <c r="AU22" i="183"/>
  <c r="AU20" i="183"/>
  <c r="AX17" i="183"/>
  <c r="AX14" i="183"/>
  <c r="AX12" i="183"/>
  <c r="AS10" i="183"/>
  <c r="AW7" i="183"/>
  <c r="AU5" i="183"/>
  <c r="AQ33" i="183"/>
  <c r="AM32" i="183"/>
  <c r="AM31" i="183"/>
  <c r="AO30" i="183"/>
  <c r="AO29" i="183"/>
  <c r="AO28" i="183"/>
  <c r="AR27" i="183"/>
  <c r="AR26" i="183"/>
  <c r="AE26" i="183"/>
  <c r="AE25" i="183"/>
  <c r="AF24" i="183"/>
  <c r="AH23" i="183"/>
  <c r="AF22" i="183"/>
  <c r="AI21" i="183"/>
  <c r="AJ20" i="183"/>
  <c r="AK19" i="183"/>
  <c r="AM18" i="183"/>
  <c r="AM17" i="183"/>
  <c r="AO16" i="183"/>
  <c r="AO15" i="183"/>
  <c r="AO14" i="183"/>
  <c r="AR13" i="183"/>
  <c r="AR12" i="183"/>
  <c r="AE12" i="183"/>
  <c r="AF11" i="183"/>
  <c r="AK10" i="183"/>
  <c r="AN9" i="183"/>
  <c r="AP8" i="183"/>
  <c r="AD8" i="183"/>
  <c r="AG7" i="183"/>
  <c r="AK6" i="183"/>
  <c r="AP5" i="183"/>
  <c r="AC5" i="183"/>
  <c r="AF4" i="183"/>
  <c r="AD3" i="183"/>
  <c r="AB19" i="183"/>
  <c r="AB6" i="183"/>
  <c r="AA27" i="183"/>
  <c r="AA14" i="183"/>
  <c r="AI6" i="183"/>
  <c r="AP13" i="183"/>
  <c r="AK26" i="183"/>
  <c r="AW9" i="183"/>
  <c r="AF3" i="183"/>
  <c r="AL9" i="183"/>
  <c r="AH19" i="183"/>
  <c r="AD24" i="183"/>
  <c r="AW4" i="183"/>
  <c r="AB16" i="183"/>
  <c r="AH3" i="183"/>
  <c r="AG5" i="183"/>
  <c r="AO6" i="183"/>
  <c r="AF8" i="183"/>
  <c r="AD10" i="183"/>
  <c r="AQ11" i="183"/>
  <c r="AL14" i="183"/>
  <c r="AF17" i="183"/>
  <c r="AJ19" i="183"/>
  <c r="AD22" i="183"/>
  <c r="AM24" i="183"/>
  <c r="AQ26" i="183"/>
  <c r="AK29" i="183"/>
  <c r="AE32" i="183"/>
  <c r="AS5" i="183"/>
  <c r="AX11" i="183"/>
  <c r="AS22" i="183"/>
  <c r="AD11" i="183"/>
  <c r="AB29" i="183"/>
  <c r="AH9" i="183"/>
  <c r="AD21" i="183"/>
  <c r="AL28" i="183"/>
  <c r="AO33" i="183"/>
  <c r="AB30" i="183"/>
  <c r="AJ9" i="183"/>
  <c r="AE21" i="183"/>
  <c r="AW33" i="183"/>
  <c r="AB13" i="183"/>
  <c r="AJ6" i="183"/>
  <c r="AP11" i="183"/>
  <c r="AL31" i="183"/>
  <c r="AA28" i="183"/>
  <c r="AA11" i="183"/>
  <c r="AA30" i="183"/>
  <c r="AB17" i="183"/>
  <c r="AN3" i="183"/>
  <c r="AJ5" i="183"/>
  <c r="AR6" i="183"/>
  <c r="AJ8" i="183"/>
  <c r="AH10" i="183"/>
  <c r="AK12" i="183"/>
  <c r="AN14" i="183"/>
  <c r="AK17" i="183"/>
  <c r="AR19" i="183"/>
  <c r="AE22" i="183"/>
  <c r="AR24" i="183"/>
  <c r="AJ27" i="183"/>
  <c r="AN29" i="183"/>
  <c r="AG32" i="183"/>
  <c r="AW6" i="183"/>
  <c r="AV12" i="183"/>
  <c r="AT22" i="183"/>
  <c r="AD9" i="183"/>
  <c r="AB8" i="183"/>
  <c r="AN7" i="183"/>
  <c r="AE11" i="183"/>
  <c r="AK18" i="183"/>
  <c r="AQ25" i="183"/>
  <c r="AV17" i="183"/>
  <c r="AB10" i="183"/>
  <c r="AQ7" i="183"/>
  <c r="AC24" i="183"/>
  <c r="AK31" i="183"/>
  <c r="AA25" i="183"/>
  <c r="AQ4" i="183"/>
  <c r="AI14" i="183"/>
  <c r="AV11" i="183"/>
  <c r="AA9" i="183"/>
  <c r="AA12" i="183"/>
  <c r="AA33" i="183"/>
  <c r="AB20" i="183"/>
  <c r="AD4" i="183"/>
  <c r="AM5" i="183"/>
  <c r="AD7" i="183"/>
  <c r="AN8" i="183"/>
  <c r="AI10" i="183"/>
  <c r="AP12" i="183"/>
  <c r="AF15" i="183"/>
  <c r="AL17" i="183"/>
  <c r="AG20" i="183"/>
  <c r="AO22" i="183"/>
  <c r="AD25" i="183"/>
  <c r="AL27" i="183"/>
  <c r="AH30" i="183"/>
  <c r="AK32" i="183"/>
  <c r="AS7" i="183"/>
  <c r="AV14" i="183"/>
  <c r="AW25" i="183"/>
  <c r="AM4" i="183"/>
  <c r="AH16" i="183"/>
  <c r="AS30" i="183"/>
  <c r="AJ16" i="183"/>
  <c r="AA16" i="183"/>
  <c r="AB4" i="183"/>
  <c r="AB23" i="183"/>
  <c r="AE4" i="183"/>
  <c r="AN5" i="183"/>
  <c r="AE7" i="183"/>
  <c r="AO8" i="183"/>
  <c r="AQ10" i="183"/>
  <c r="AQ12" i="183"/>
  <c r="AK15" i="183"/>
  <c r="AE18" i="183"/>
  <c r="AI20" i="183"/>
  <c r="AQ22" i="183"/>
  <c r="AM25" i="183"/>
  <c r="AP27" i="183"/>
  <c r="AJ30" i="183"/>
  <c r="AE33" i="183"/>
  <c r="AT7" i="183"/>
  <c r="AW14" i="183"/>
  <c r="AX26" i="183"/>
  <c r="Z1" i="125" a="1"/>
  <c r="Z1" i="125" s="1"/>
  <c r="Z2" i="125" a="1"/>
  <c r="Z2" i="125" s="1"/>
  <c r="Z3" i="125" a="1"/>
  <c r="Z3" i="125" s="1"/>
  <c r="Z4" i="125" a="1"/>
  <c r="Z4" i="125" s="1"/>
  <c r="Z5" i="125" a="1"/>
  <c r="Z5" i="125" s="1"/>
  <c r="Z6" i="125" a="1"/>
  <c r="Z6" i="125" s="1"/>
  <c r="Z7" i="125" a="1"/>
  <c r="Z7" i="125" s="1"/>
  <c r="Z8" i="125" a="1"/>
  <c r="Z8" i="125" s="1"/>
  <c r="Z9" i="125" a="1"/>
  <c r="Z9" i="125" s="1"/>
  <c r="Z10" i="125" a="1"/>
  <c r="Z10" i="125" s="1"/>
  <c r="Z11" i="125" a="1"/>
  <c r="Z11" i="125" s="1"/>
  <c r="Z12" i="125" a="1"/>
  <c r="Z12" i="125" s="1"/>
  <c r="Z13" i="125" a="1"/>
  <c r="Z13" i="125" s="1"/>
  <c r="Z14" i="125" a="1"/>
  <c r="Z14" i="125" s="1"/>
  <c r="Z15" i="125" a="1"/>
  <c r="Z15" i="125" s="1"/>
  <c r="Z16" i="125" a="1"/>
  <c r="Z16" i="125" s="1"/>
  <c r="Z17" i="125" a="1"/>
  <c r="Z17" i="125" s="1"/>
  <c r="Z18" i="125" a="1"/>
  <c r="Z18" i="125" s="1"/>
  <c r="Z19" i="125" a="1"/>
  <c r="Z19" i="125" s="1"/>
  <c r="Z20" i="125" a="1"/>
  <c r="Z20" i="125" s="1"/>
  <c r="Z21" i="125" a="1"/>
  <c r="Z21" i="125" s="1"/>
  <c r="Z22" i="125" a="1"/>
  <c r="Z22" i="125" s="1"/>
  <c r="Z23" i="125" a="1"/>
  <c r="Z23" i="125" s="1"/>
  <c r="Z24" i="125" a="1"/>
  <c r="Z24" i="125" s="1"/>
  <c r="Z25" i="125" a="1"/>
  <c r="Z25" i="125" s="1"/>
  <c r="Z26" i="125" a="1"/>
  <c r="Z26" i="125" s="1"/>
  <c r="Z27" i="125" a="1"/>
  <c r="Z27" i="125" s="1"/>
  <c r="Z28" i="125" a="1"/>
  <c r="Z28" i="125" s="1"/>
  <c r="Z29" i="125" a="1"/>
  <c r="Z29" i="125" s="1"/>
  <c r="Z30" i="125" a="1"/>
  <c r="Z30" i="125" s="1"/>
  <c r="Z31" i="125" a="1"/>
  <c r="Z31" i="125" s="1"/>
  <c r="Z32" i="125" a="1"/>
  <c r="Z32" i="125" s="1"/>
  <c r="Z33" i="125" a="1"/>
  <c r="Z33" i="125" s="1"/>
  <c r="Z34" i="125" a="1"/>
  <c r="Z34" i="125" s="1"/>
  <c r="Z35" i="125" a="1"/>
  <c r="Z35" i="125" s="1"/>
  <c r="Z36" i="125" a="1"/>
  <c r="Z36" i="125" s="1"/>
  <c r="Z37" i="125" a="1"/>
  <c r="Z37" i="125" s="1"/>
  <c r="Z38" i="125" a="1"/>
  <c r="Z38" i="125" s="1"/>
  <c r="Z39" i="125" a="1"/>
  <c r="Z39" i="125" s="1"/>
  <c r="Z40" i="125" a="1"/>
  <c r="Z40" i="125" s="1"/>
  <c r="Z41" i="125" a="1"/>
  <c r="Z41" i="125" s="1"/>
  <c r="Z42" i="125" a="1"/>
  <c r="Z42" i="125" s="1"/>
  <c r="Z43" i="125" a="1"/>
  <c r="Z43" i="125" s="1"/>
  <c r="Z44" i="125" a="1"/>
  <c r="Z44" i="125" s="1"/>
  <c r="Z45" i="125" a="1"/>
  <c r="Z45" i="125" s="1"/>
  <c r="Z46" i="125" a="1"/>
  <c r="Z46" i="125" s="1"/>
  <c r="Z47" i="125" a="1"/>
  <c r="Z47" i="125" s="1"/>
  <c r="Z48" i="125" a="1"/>
  <c r="Z48" i="125" s="1"/>
  <c r="Z49" i="125" a="1"/>
  <c r="Z49" i="125" s="1"/>
  <c r="Z50" i="125" a="1"/>
  <c r="Z50" i="125" s="1"/>
  <c r="O4" i="48" l="1"/>
  <c r="P2" i="48" s="1"/>
  <c r="AT19" i="183" l="1"/>
  <c r="AV16" i="183"/>
  <c r="AX9" i="183"/>
  <c r="AR33" i="183"/>
  <c r="AJ33" i="183"/>
  <c r="AJ32" i="183"/>
  <c r="AR29" i="183"/>
  <c r="AJ25" i="183"/>
  <c r="AR22" i="183"/>
  <c r="AJ18" i="183"/>
  <c r="AR15" i="183"/>
  <c r="AJ11" i="183"/>
  <c r="AR8" i="183"/>
  <c r="AJ4" i="183"/>
  <c r="AB33" i="183"/>
  <c r="AK30" i="183"/>
  <c r="AK23" i="183"/>
  <c r="AC13" i="183"/>
  <c r="AC6" i="183"/>
  <c r="AS27" i="183"/>
  <c r="AU24" i="183"/>
  <c r="AW17" i="183"/>
  <c r="AI33" i="183"/>
  <c r="AQ30" i="183"/>
  <c r="AI26" i="183"/>
  <c r="AQ23" i="183"/>
  <c r="AI19" i="183"/>
  <c r="AQ16" i="183"/>
  <c r="AI12" i="183"/>
  <c r="AQ9" i="183"/>
  <c r="AI5" i="183"/>
  <c r="AQ3" i="183"/>
  <c r="AI3" i="183"/>
  <c r="AA3" i="183"/>
  <c r="AA8" i="183"/>
  <c r="AC27" i="183"/>
  <c r="AK16" i="183"/>
  <c r="AK9" i="183"/>
  <c r="AX30" i="183"/>
  <c r="AT12" i="183"/>
  <c r="AV9" i="183"/>
  <c r="AU3" i="183"/>
  <c r="AP33" i="183"/>
  <c r="AH33" i="183"/>
  <c r="AP31" i="183"/>
  <c r="AH28" i="183"/>
  <c r="AP24" i="183"/>
  <c r="AH21" i="183"/>
  <c r="AP17" i="183"/>
  <c r="AH14" i="183"/>
  <c r="AP10" i="183"/>
  <c r="AH7" i="183"/>
  <c r="AP3" i="183"/>
  <c r="AB7" i="183"/>
  <c r="AA15" i="183"/>
  <c r="AS20" i="183"/>
  <c r="AU17" i="183"/>
  <c r="AW10" i="183"/>
  <c r="AX33" i="183"/>
  <c r="BA1" i="183" s="1"/>
  <c r="AT33" i="183"/>
  <c r="AO32" i="183"/>
  <c r="AG29" i="183"/>
  <c r="AO25" i="183"/>
  <c r="AG22" i="183"/>
  <c r="AO18" i="183"/>
  <c r="AG15" i="183"/>
  <c r="AO11" i="183"/>
  <c r="AG8" i="183"/>
  <c r="AO4" i="183"/>
  <c r="AO3" i="183"/>
  <c r="AG3" i="183"/>
  <c r="AB14" i="183"/>
  <c r="AA22" i="183"/>
  <c r="AU31" i="183"/>
  <c r="AC20" i="183"/>
  <c r="AV30" i="183"/>
  <c r="AX23" i="183"/>
  <c r="AT5" i="183"/>
  <c r="AN33" i="183"/>
  <c r="AF33" i="183"/>
  <c r="AF30" i="183"/>
  <c r="AN27" i="183"/>
  <c r="AF23" i="183"/>
  <c r="AN20" i="183"/>
  <c r="AF16" i="183"/>
  <c r="AN13" i="183"/>
  <c r="AF9" i="183"/>
  <c r="AN6" i="183"/>
  <c r="AB21" i="183"/>
  <c r="AA29" i="183"/>
  <c r="AV33" i="183"/>
  <c r="AK3" i="183"/>
  <c r="AW31" i="183"/>
  <c r="AS13" i="183"/>
  <c r="AU10" i="183"/>
  <c r="AE31" i="183"/>
  <c r="AM28" i="183"/>
  <c r="AE24" i="183"/>
  <c r="AM21" i="183"/>
  <c r="AE17" i="183"/>
  <c r="AM14" i="183"/>
  <c r="AE10" i="183"/>
  <c r="AM7" i="183"/>
  <c r="AM3" i="183"/>
  <c r="AE3" i="183"/>
  <c r="AB28" i="183"/>
  <c r="AW24" i="183"/>
  <c r="AC3" i="183"/>
  <c r="AT26" i="183"/>
  <c r="AV23" i="183"/>
  <c r="AX16" i="183"/>
  <c r="AW3" i="183"/>
  <c r="AS3" i="183"/>
  <c r="AL33" i="183"/>
  <c r="AD33" i="183"/>
  <c r="AL29" i="183"/>
  <c r="AD26" i="183"/>
  <c r="AL22" i="183"/>
  <c r="AD19" i="183"/>
  <c r="AL15" i="183"/>
  <c r="AD12" i="183"/>
  <c r="AL8" i="183"/>
  <c r="AD5" i="183"/>
  <c r="AS6" i="183"/>
  <c r="C5" i="48"/>
  <c r="I35" i="48" s="1"/>
  <c r="I38" i="48" s="1"/>
  <c r="I41" i="48" s="1"/>
  <c r="I44" i="48" s="1"/>
  <c r="I47" i="48" s="1"/>
  <c r="I50" i="48" s="1"/>
  <c r="K50" i="48" s="1"/>
  <c r="B367" i="64"/>
  <c r="B366" i="64"/>
  <c r="B365" i="64"/>
  <c r="B364" i="64"/>
  <c r="B363" i="64"/>
  <c r="B362" i="64"/>
  <c r="B361" i="64"/>
  <c r="B360" i="64"/>
  <c r="B359" i="64"/>
  <c r="B358" i="64"/>
  <c r="B357" i="64"/>
  <c r="B356" i="64"/>
  <c r="B355" i="64"/>
  <c r="B354" i="64"/>
  <c r="B353" i="64"/>
  <c r="B352" i="64"/>
  <c r="B351" i="64"/>
  <c r="B350" i="64"/>
  <c r="B349" i="64"/>
  <c r="B348" i="64"/>
  <c r="B347" i="64"/>
  <c r="B346" i="64"/>
  <c r="B345" i="64"/>
  <c r="B344" i="64"/>
  <c r="B343" i="64"/>
  <c r="B342" i="64"/>
  <c r="B341" i="64"/>
  <c r="B340" i="64"/>
  <c r="B339" i="64"/>
  <c r="B338" i="64"/>
  <c r="B337" i="64"/>
  <c r="B336" i="64"/>
  <c r="B335" i="64"/>
  <c r="B334" i="64"/>
  <c r="B333" i="64"/>
  <c r="B332" i="64"/>
  <c r="B331" i="64"/>
  <c r="B330" i="64"/>
  <c r="B329" i="64"/>
  <c r="B328" i="64"/>
  <c r="B327" i="64"/>
  <c r="B326" i="64"/>
  <c r="B325" i="64"/>
  <c r="B324" i="64"/>
  <c r="B323" i="64"/>
  <c r="B322" i="64"/>
  <c r="B321" i="64"/>
  <c r="B320" i="64"/>
  <c r="B319" i="64"/>
  <c r="B318" i="64"/>
  <c r="B317" i="64"/>
  <c r="B316" i="64"/>
  <c r="B315" i="64"/>
  <c r="B314" i="64"/>
  <c r="B313" i="64"/>
  <c r="B312" i="64"/>
  <c r="B311" i="64"/>
  <c r="B310" i="64"/>
  <c r="B309" i="64"/>
  <c r="B308" i="64"/>
  <c r="B307" i="64"/>
  <c r="B306" i="64"/>
  <c r="B305" i="64"/>
  <c r="B304" i="64"/>
  <c r="B303" i="64"/>
  <c r="B302" i="64"/>
  <c r="B301" i="64"/>
  <c r="B300" i="64"/>
  <c r="B299" i="64"/>
  <c r="B298" i="64"/>
  <c r="B297" i="64"/>
  <c r="B296" i="64"/>
  <c r="B295" i="64"/>
  <c r="B294" i="64"/>
  <c r="B293" i="64"/>
  <c r="B292" i="64"/>
  <c r="B291" i="64"/>
  <c r="B290" i="64"/>
  <c r="B289" i="64"/>
  <c r="B288" i="64"/>
  <c r="B287" i="64"/>
  <c r="B286" i="64"/>
  <c r="B285" i="64"/>
  <c r="B284" i="64"/>
  <c r="B283" i="64"/>
  <c r="B282" i="64"/>
  <c r="B281" i="64"/>
  <c r="B280" i="64"/>
  <c r="B279" i="64"/>
  <c r="B278" i="64"/>
  <c r="B277" i="64"/>
  <c r="B276" i="64"/>
  <c r="B275" i="64"/>
  <c r="B274" i="64"/>
  <c r="B273" i="64"/>
  <c r="B272" i="64"/>
  <c r="B271" i="64"/>
  <c r="B270" i="64"/>
  <c r="B269" i="64"/>
  <c r="B268" i="64"/>
  <c r="B267" i="64"/>
  <c r="B266" i="64"/>
  <c r="B265" i="64"/>
  <c r="B264" i="64"/>
  <c r="B263" i="64"/>
  <c r="B262" i="64"/>
  <c r="B261" i="64"/>
  <c r="B260" i="64"/>
  <c r="B259" i="64"/>
  <c r="B258" i="64"/>
  <c r="B257" i="64"/>
  <c r="B256" i="64"/>
  <c r="B255" i="64"/>
  <c r="B254" i="64"/>
  <c r="B253" i="64"/>
  <c r="B252" i="64"/>
  <c r="B251" i="64"/>
  <c r="B250" i="64"/>
  <c r="B249" i="64"/>
  <c r="B248" i="64"/>
  <c r="B247" i="64"/>
  <c r="B246" i="64"/>
  <c r="B245" i="64"/>
  <c r="B244" i="64"/>
  <c r="B243" i="64"/>
  <c r="B242" i="64"/>
  <c r="B241" i="64"/>
  <c r="B240" i="64"/>
  <c r="B239" i="64"/>
  <c r="B238" i="64"/>
  <c r="B237" i="64"/>
  <c r="B236" i="64"/>
  <c r="B235" i="64"/>
  <c r="B234" i="64"/>
  <c r="B233" i="64"/>
  <c r="B232" i="64"/>
  <c r="B231" i="64"/>
  <c r="B230" i="64"/>
  <c r="B229" i="64"/>
  <c r="B228" i="64"/>
  <c r="B227" i="64"/>
  <c r="B226" i="64"/>
  <c r="B225" i="64"/>
  <c r="B224" i="64"/>
  <c r="B223" i="64"/>
  <c r="B222" i="64"/>
  <c r="B221" i="64"/>
  <c r="B220" i="64"/>
  <c r="B219" i="64"/>
  <c r="B218" i="64"/>
  <c r="B217" i="64"/>
  <c r="B216" i="64"/>
  <c r="B215" i="64"/>
  <c r="B214" i="64"/>
  <c r="B213" i="64"/>
  <c r="B212" i="64"/>
  <c r="B211" i="64"/>
  <c r="B210" i="64"/>
  <c r="B209" i="64"/>
  <c r="B208" i="64"/>
  <c r="B207" i="64"/>
  <c r="B206" i="64"/>
  <c r="B205" i="64"/>
  <c r="B204" i="64"/>
  <c r="B203" i="64"/>
  <c r="B202" i="64"/>
  <c r="B201" i="64"/>
  <c r="B200" i="64"/>
  <c r="B199" i="64"/>
  <c r="B198" i="64"/>
  <c r="B197" i="64"/>
  <c r="B196" i="64"/>
  <c r="B195" i="64"/>
  <c r="B194" i="64"/>
  <c r="B193" i="64"/>
  <c r="B192" i="64"/>
  <c r="B191" i="64"/>
  <c r="B190" i="64"/>
  <c r="B189" i="64"/>
  <c r="B188" i="64"/>
  <c r="B187" i="64"/>
  <c r="B186" i="64"/>
  <c r="B185" i="64"/>
  <c r="B184" i="64"/>
  <c r="B183" i="64"/>
  <c r="B182" i="64"/>
  <c r="B181" i="64"/>
  <c r="B180" i="64"/>
  <c r="B179" i="64"/>
  <c r="B178" i="64"/>
  <c r="B177" i="64"/>
  <c r="B176" i="64"/>
  <c r="B175" i="64"/>
  <c r="B174" i="64"/>
  <c r="B173" i="64"/>
  <c r="B172" i="64"/>
  <c r="B171" i="64"/>
  <c r="B170" i="64"/>
  <c r="B169" i="64"/>
  <c r="B168" i="64"/>
  <c r="B167" i="64"/>
  <c r="B166" i="64"/>
  <c r="B165" i="64"/>
  <c r="B164" i="64"/>
  <c r="B163" i="64"/>
  <c r="B162" i="64"/>
  <c r="B161" i="64"/>
  <c r="B160" i="64"/>
  <c r="B159" i="64"/>
  <c r="B158" i="64"/>
  <c r="B157" i="64"/>
  <c r="B156" i="64"/>
  <c r="B155" i="64"/>
  <c r="B154" i="64"/>
  <c r="B153" i="64"/>
  <c r="B152" i="64"/>
  <c r="B151" i="64"/>
  <c r="B150" i="64"/>
  <c r="B149" i="64"/>
  <c r="B148" i="64"/>
  <c r="B147" i="64"/>
  <c r="B146" i="64"/>
  <c r="B145" i="64"/>
  <c r="B144" i="64"/>
  <c r="B143" i="64"/>
  <c r="B142" i="64"/>
  <c r="B141" i="64"/>
  <c r="B140" i="64"/>
  <c r="B139" i="64"/>
  <c r="B138" i="64"/>
  <c r="B137" i="64"/>
  <c r="B136" i="64"/>
  <c r="B135" i="64"/>
  <c r="B134" i="64"/>
  <c r="B133" i="64"/>
  <c r="B132" i="64"/>
  <c r="B131" i="64"/>
  <c r="B130" i="64"/>
  <c r="B129" i="64"/>
  <c r="B128" i="64"/>
  <c r="B127" i="64"/>
  <c r="B126" i="64"/>
  <c r="B125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9" i="64"/>
  <c r="B108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B85" i="64"/>
  <c r="B84" i="64"/>
  <c r="B83" i="64"/>
  <c r="B82" i="64"/>
  <c r="B81" i="64"/>
  <c r="B80" i="64"/>
  <c r="B79" i="64"/>
  <c r="B78" i="64"/>
  <c r="B77" i="64"/>
  <c r="B76" i="64"/>
  <c r="B75" i="64"/>
  <c r="B74" i="64"/>
  <c r="B73" i="64"/>
  <c r="B72" i="64"/>
  <c r="B71" i="64"/>
  <c r="B70" i="64"/>
  <c r="B69" i="64"/>
  <c r="B68" i="64"/>
  <c r="B67" i="64"/>
  <c r="B66" i="64"/>
  <c r="B65" i="64"/>
  <c r="B64" i="64"/>
  <c r="B63" i="64"/>
  <c r="B62" i="64"/>
  <c r="B61" i="64"/>
  <c r="B60" i="64"/>
  <c r="B59" i="64"/>
  <c r="B58" i="64"/>
  <c r="B57" i="64"/>
  <c r="B56" i="64"/>
  <c r="B55" i="64"/>
  <c r="B54" i="64"/>
  <c r="B53" i="64"/>
  <c r="B52" i="64"/>
  <c r="B51" i="64"/>
  <c r="B50" i="64"/>
  <c r="B49" i="64"/>
  <c r="B48" i="64"/>
  <c r="B47" i="64"/>
  <c r="B46" i="64"/>
  <c r="B45" i="64"/>
  <c r="B44" i="64"/>
  <c r="B43" i="64"/>
  <c r="B42" i="64"/>
  <c r="B41" i="64"/>
  <c r="B40" i="64"/>
  <c r="B39" i="64"/>
  <c r="B38" i="64"/>
  <c r="B37" i="64"/>
  <c r="B36" i="64"/>
  <c r="B35" i="64"/>
  <c r="B34" i="64"/>
  <c r="B33" i="64"/>
  <c r="B32" i="64"/>
  <c r="B31" i="64"/>
  <c r="B30" i="64"/>
  <c r="B29" i="64"/>
  <c r="B28" i="64"/>
  <c r="B27" i="64"/>
  <c r="B26" i="64"/>
  <c r="B25" i="64"/>
  <c r="B24" i="64"/>
  <c r="B23" i="64"/>
  <c r="B22" i="64"/>
  <c r="B21" i="64"/>
  <c r="B20" i="64"/>
  <c r="B19" i="64"/>
  <c r="B18" i="64"/>
  <c r="B17" i="64"/>
  <c r="B16" i="64"/>
  <c r="B15" i="64"/>
  <c r="B14" i="64"/>
  <c r="B13" i="64"/>
  <c r="B12" i="64"/>
  <c r="B11" i="64"/>
  <c r="B10" i="64"/>
  <c r="B9" i="64"/>
  <c r="B8" i="64"/>
  <c r="B7" i="64"/>
  <c r="B6" i="64"/>
  <c r="B5" i="64"/>
  <c r="B4" i="64"/>
  <c r="B3" i="64"/>
  <c r="B2" i="64"/>
  <c r="K41" i="60"/>
  <c r="T41" i="60" s="1"/>
  <c r="AC41" i="60" s="1"/>
  <c r="B50" i="60" s="1"/>
  <c r="K50" i="60" s="1"/>
  <c r="T50" i="60" s="1"/>
  <c r="AC50" i="60" s="1"/>
  <c r="B59" i="60" s="1"/>
  <c r="K59" i="60" s="1"/>
  <c r="T59" i="60" s="1"/>
  <c r="AC59" i="60" s="1"/>
  <c r="B46" i="60"/>
  <c r="B45" i="60"/>
  <c r="B44" i="60"/>
  <c r="B43" i="60"/>
  <c r="B42" i="60"/>
  <c r="H46" i="60"/>
  <c r="G46" i="60"/>
  <c r="F46" i="60"/>
  <c r="E46" i="60"/>
  <c r="D46" i="60"/>
  <c r="C46" i="60"/>
  <c r="H45" i="60"/>
  <c r="G45" i="60"/>
  <c r="F45" i="60"/>
  <c r="E45" i="60"/>
  <c r="D45" i="60"/>
  <c r="C45" i="60"/>
  <c r="H44" i="60"/>
  <c r="G44" i="60"/>
  <c r="F44" i="60"/>
  <c r="E44" i="60"/>
  <c r="D44" i="60"/>
  <c r="C44" i="60"/>
  <c r="H43" i="60"/>
  <c r="G43" i="60"/>
  <c r="F43" i="60"/>
  <c r="E43" i="60"/>
  <c r="D43" i="60"/>
  <c r="C43" i="60"/>
  <c r="H42" i="60"/>
  <c r="G42" i="60"/>
  <c r="F42" i="60"/>
  <c r="E42" i="60"/>
  <c r="D42" i="60"/>
  <c r="C42" i="60"/>
  <c r="H41" i="60"/>
  <c r="G41" i="60"/>
  <c r="F41" i="60"/>
  <c r="E41" i="60"/>
  <c r="D41" i="60"/>
  <c r="C41" i="60"/>
  <c r="K39" i="60"/>
  <c r="D39" i="60"/>
  <c r="B4" i="60"/>
  <c r="C4" i="60" s="1"/>
  <c r="D4" i="60" s="1"/>
  <c r="E4" i="60" s="1"/>
  <c r="A4" i="60" s="1"/>
  <c r="K2" i="60"/>
  <c r="K4" i="60" s="1"/>
  <c r="D2" i="60"/>
  <c r="L1" i="60"/>
  <c r="L41" i="60" l="1"/>
  <c r="K42" i="60"/>
  <c r="K43" i="60" s="1"/>
  <c r="K44" i="60" s="1"/>
  <c r="K45" i="60" s="1"/>
  <c r="K46" i="60" s="1"/>
  <c r="AR2" i="60"/>
  <c r="AO2" i="60"/>
  <c r="AU2" i="60"/>
  <c r="AW2" i="60"/>
  <c r="AT2" i="60"/>
  <c r="AQ2" i="60"/>
  <c r="I4" i="60"/>
  <c r="F4" i="60"/>
  <c r="G4" i="60" s="1"/>
  <c r="H4" i="60" s="1"/>
  <c r="B5" i="60" s="1"/>
  <c r="C5" i="60" s="1"/>
  <c r="D5" i="60" s="1"/>
  <c r="E5" i="60" s="1"/>
  <c r="A5" i="60" s="1"/>
  <c r="B60" i="60"/>
  <c r="B61" i="60" s="1"/>
  <c r="B62" i="60" s="1"/>
  <c r="B63" i="60" s="1"/>
  <c r="B64" i="60" s="1"/>
  <c r="C59" i="60"/>
  <c r="B51" i="60"/>
  <c r="B52" i="60" s="1"/>
  <c r="B53" i="60" s="1"/>
  <c r="B54" i="60" s="1"/>
  <c r="B55" i="60" s="1"/>
  <c r="C50" i="60"/>
  <c r="L42" i="60"/>
  <c r="L43" i="60" s="1"/>
  <c r="L44" i="60" s="1"/>
  <c r="L45" i="60" s="1"/>
  <c r="L46" i="60" s="1"/>
  <c r="M41" i="60"/>
  <c r="K51" i="60"/>
  <c r="K52" i="60" s="1"/>
  <c r="K53" i="60" s="1"/>
  <c r="K54" i="60" s="1"/>
  <c r="K55" i="60" s="1"/>
  <c r="L50" i="60"/>
  <c r="K60" i="60"/>
  <c r="K61" i="60" s="1"/>
  <c r="K62" i="60" s="1"/>
  <c r="K63" i="60" s="1"/>
  <c r="K64" i="60" s="1"/>
  <c r="L59" i="60"/>
  <c r="AC42" i="60"/>
  <c r="AC43" i="60" s="1"/>
  <c r="AC44" i="60" s="1"/>
  <c r="AC45" i="60" s="1"/>
  <c r="AC46" i="60" s="1"/>
  <c r="AD41" i="60"/>
  <c r="T42" i="60"/>
  <c r="T43" i="60" s="1"/>
  <c r="T44" i="60" s="1"/>
  <c r="T45" i="60" s="1"/>
  <c r="T46" i="60" s="1"/>
  <c r="U41" i="60"/>
  <c r="T39" i="60"/>
  <c r="M39" i="60"/>
  <c r="L4" i="60"/>
  <c r="M4" i="60" s="1"/>
  <c r="N4" i="60" s="1"/>
  <c r="R4" i="60" s="1"/>
  <c r="T2" i="60"/>
  <c r="T4" i="60" s="1"/>
  <c r="M2" i="60"/>
  <c r="D5" i="48"/>
  <c r="J4" i="60" l="1"/>
  <c r="I5" i="60"/>
  <c r="O4" i="60"/>
  <c r="P4" i="60" s="1"/>
  <c r="Q4" i="60" s="1"/>
  <c r="K5" i="60" s="1"/>
  <c r="L5" i="60" s="1"/>
  <c r="M5" i="60" s="1"/>
  <c r="N5" i="60" s="1"/>
  <c r="F5" i="60"/>
  <c r="G5" i="60" s="1"/>
  <c r="H5" i="60" s="1"/>
  <c r="B6" i="60" s="1"/>
  <c r="C6" i="60" s="1"/>
  <c r="D6" i="60" s="1"/>
  <c r="E6" i="60" s="1"/>
  <c r="C60" i="60"/>
  <c r="C61" i="60" s="1"/>
  <c r="C62" i="60" s="1"/>
  <c r="C63" i="60" s="1"/>
  <c r="C64" i="60" s="1"/>
  <c r="D59" i="60"/>
  <c r="C51" i="60"/>
  <c r="C52" i="60" s="1"/>
  <c r="C53" i="60" s="1"/>
  <c r="C54" i="60" s="1"/>
  <c r="C55" i="60" s="1"/>
  <c r="D50" i="60"/>
  <c r="N41" i="60"/>
  <c r="M42" i="60"/>
  <c r="M43" i="60" s="1"/>
  <c r="M44" i="60" s="1"/>
  <c r="M45" i="60" s="1"/>
  <c r="M46" i="60" s="1"/>
  <c r="L60" i="60"/>
  <c r="L61" i="60" s="1"/>
  <c r="L62" i="60" s="1"/>
  <c r="L63" i="60" s="1"/>
  <c r="L64" i="60" s="1"/>
  <c r="M59" i="60"/>
  <c r="T60" i="60"/>
  <c r="T61" i="60" s="1"/>
  <c r="T62" i="60" s="1"/>
  <c r="T63" i="60" s="1"/>
  <c r="T64" i="60" s="1"/>
  <c r="U59" i="60"/>
  <c r="L51" i="60"/>
  <c r="L52" i="60" s="1"/>
  <c r="L53" i="60" s="1"/>
  <c r="L54" i="60" s="1"/>
  <c r="L55" i="60" s="1"/>
  <c r="M50" i="60"/>
  <c r="T51" i="60"/>
  <c r="T52" i="60" s="1"/>
  <c r="T53" i="60" s="1"/>
  <c r="T54" i="60" s="1"/>
  <c r="T55" i="60" s="1"/>
  <c r="U50" i="60"/>
  <c r="AD42" i="60"/>
  <c r="AD43" i="60" s="1"/>
  <c r="AD44" i="60" s="1"/>
  <c r="AD45" i="60" s="1"/>
  <c r="AD46" i="60" s="1"/>
  <c r="AE41" i="60"/>
  <c r="U42" i="60"/>
  <c r="U43" i="60" s="1"/>
  <c r="U44" i="60" s="1"/>
  <c r="U45" i="60" s="1"/>
  <c r="U46" i="60" s="1"/>
  <c r="V41" i="60"/>
  <c r="AC39" i="60"/>
  <c r="V39" i="60"/>
  <c r="U4" i="60"/>
  <c r="V4" i="60" s="1"/>
  <c r="W4" i="60" s="1"/>
  <c r="AC2" i="60"/>
  <c r="AC4" i="60" s="1"/>
  <c r="V2" i="60"/>
  <c r="E5" i="48"/>
  <c r="A6" i="60" l="1"/>
  <c r="I6" i="60"/>
  <c r="S4" i="60"/>
  <c r="AA4" i="60"/>
  <c r="R5" i="60"/>
  <c r="J5" i="60"/>
  <c r="X4" i="60"/>
  <c r="Y4" i="60" s="1"/>
  <c r="Z4" i="60" s="1"/>
  <c r="T5" i="60" s="1"/>
  <c r="U5" i="60" s="1"/>
  <c r="V5" i="60" s="1"/>
  <c r="W5" i="60" s="1"/>
  <c r="F6" i="60"/>
  <c r="G6" i="60" s="1"/>
  <c r="H6" i="60" s="1"/>
  <c r="B7" i="60" s="1"/>
  <c r="C7" i="60" s="1"/>
  <c r="D7" i="60" s="1"/>
  <c r="E7" i="60" s="1"/>
  <c r="O5" i="60"/>
  <c r="P5" i="60" s="1"/>
  <c r="Q5" i="60" s="1"/>
  <c r="K6" i="60" s="1"/>
  <c r="L6" i="60" s="1"/>
  <c r="M6" i="60" s="1"/>
  <c r="N6" i="60" s="1"/>
  <c r="D60" i="60"/>
  <c r="D61" i="60" s="1"/>
  <c r="D62" i="60" s="1"/>
  <c r="D63" i="60" s="1"/>
  <c r="D64" i="60" s="1"/>
  <c r="E59" i="60"/>
  <c r="D51" i="60"/>
  <c r="D52" i="60" s="1"/>
  <c r="D53" i="60" s="1"/>
  <c r="D54" i="60" s="1"/>
  <c r="D55" i="60" s="1"/>
  <c r="E50" i="60"/>
  <c r="O41" i="60"/>
  <c r="N42" i="60"/>
  <c r="N43" i="60" s="1"/>
  <c r="N44" i="60" s="1"/>
  <c r="N45" i="60" s="1"/>
  <c r="N46" i="60" s="1"/>
  <c r="U51" i="60"/>
  <c r="U52" i="60" s="1"/>
  <c r="U53" i="60" s="1"/>
  <c r="U54" i="60" s="1"/>
  <c r="U55" i="60" s="1"/>
  <c r="V50" i="60"/>
  <c r="AC51" i="60"/>
  <c r="AC52" i="60" s="1"/>
  <c r="AC53" i="60" s="1"/>
  <c r="AC54" i="60" s="1"/>
  <c r="AC55" i="60" s="1"/>
  <c r="AD50" i="60"/>
  <c r="M51" i="60"/>
  <c r="M52" i="60" s="1"/>
  <c r="M53" i="60" s="1"/>
  <c r="M54" i="60" s="1"/>
  <c r="M55" i="60" s="1"/>
  <c r="N50" i="60"/>
  <c r="U60" i="60"/>
  <c r="U61" i="60" s="1"/>
  <c r="U62" i="60" s="1"/>
  <c r="U63" i="60" s="1"/>
  <c r="U64" i="60" s="1"/>
  <c r="V59" i="60"/>
  <c r="AC60" i="60"/>
  <c r="AC61" i="60" s="1"/>
  <c r="AC62" i="60" s="1"/>
  <c r="AC63" i="60" s="1"/>
  <c r="AC64" i="60" s="1"/>
  <c r="AD59" i="60"/>
  <c r="M60" i="60"/>
  <c r="M61" i="60" s="1"/>
  <c r="M62" i="60" s="1"/>
  <c r="M63" i="60" s="1"/>
  <c r="M64" i="60" s="1"/>
  <c r="N59" i="60"/>
  <c r="AE42" i="60"/>
  <c r="AE43" i="60" s="1"/>
  <c r="AE44" i="60" s="1"/>
  <c r="AE45" i="60" s="1"/>
  <c r="AE46" i="60" s="1"/>
  <c r="AF41" i="60"/>
  <c r="V42" i="60"/>
  <c r="V43" i="60" s="1"/>
  <c r="V44" i="60" s="1"/>
  <c r="V45" i="60" s="1"/>
  <c r="V46" i="60" s="1"/>
  <c r="W41" i="60"/>
  <c r="AE39" i="60"/>
  <c r="B48" i="60"/>
  <c r="B11" i="60"/>
  <c r="B13" i="60" s="1"/>
  <c r="AD4" i="60"/>
  <c r="AE4" i="60" s="1"/>
  <c r="AF4" i="60" s="1"/>
  <c r="AE2" i="60"/>
  <c r="F5" i="48"/>
  <c r="R6" i="60" l="1"/>
  <c r="J6" i="60"/>
  <c r="A7" i="60"/>
  <c r="I7" i="60"/>
  <c r="S5" i="60"/>
  <c r="AA5" i="60"/>
  <c r="AJ4" i="60"/>
  <c r="AB4" i="60"/>
  <c r="AG4" i="60"/>
  <c r="AH4" i="60" s="1"/>
  <c r="AI4" i="60" s="1"/>
  <c r="AC5" i="60" s="1"/>
  <c r="AD5" i="60" s="1"/>
  <c r="AE5" i="60" s="1"/>
  <c r="AF5" i="60" s="1"/>
  <c r="O6" i="60"/>
  <c r="P6" i="60" s="1"/>
  <c r="Q6" i="60" s="1"/>
  <c r="K7" i="60" s="1"/>
  <c r="L7" i="60" s="1"/>
  <c r="M7" i="60" s="1"/>
  <c r="N7" i="60" s="1"/>
  <c r="F7" i="60"/>
  <c r="G7" i="60" s="1"/>
  <c r="H7" i="60" s="1"/>
  <c r="B8" i="60" s="1"/>
  <c r="C8" i="60" s="1"/>
  <c r="D8" i="60" s="1"/>
  <c r="E8" i="60" s="1"/>
  <c r="X5" i="60"/>
  <c r="Y5" i="60" s="1"/>
  <c r="Z5" i="60" s="1"/>
  <c r="T6" i="60" s="1"/>
  <c r="U6" i="60" s="1"/>
  <c r="V6" i="60" s="1"/>
  <c r="W6" i="60" s="1"/>
  <c r="E60" i="60"/>
  <c r="E61" i="60" s="1"/>
  <c r="E62" i="60" s="1"/>
  <c r="E63" i="60" s="1"/>
  <c r="E64" i="60" s="1"/>
  <c r="F59" i="60"/>
  <c r="E51" i="60"/>
  <c r="E52" i="60" s="1"/>
  <c r="E53" i="60" s="1"/>
  <c r="E54" i="60" s="1"/>
  <c r="E55" i="60" s="1"/>
  <c r="F50" i="60"/>
  <c r="P41" i="60"/>
  <c r="O42" i="60"/>
  <c r="O43" i="60" s="1"/>
  <c r="O44" i="60" s="1"/>
  <c r="O45" i="60" s="1"/>
  <c r="O46" i="60" s="1"/>
  <c r="N60" i="60"/>
  <c r="N61" i="60" s="1"/>
  <c r="N62" i="60" s="1"/>
  <c r="N63" i="60" s="1"/>
  <c r="N64" i="60" s="1"/>
  <c r="O59" i="60"/>
  <c r="AD60" i="60"/>
  <c r="AD61" i="60" s="1"/>
  <c r="AD62" i="60" s="1"/>
  <c r="AD63" i="60" s="1"/>
  <c r="AD64" i="60" s="1"/>
  <c r="AE59" i="60"/>
  <c r="V60" i="60"/>
  <c r="V61" i="60" s="1"/>
  <c r="V62" i="60" s="1"/>
  <c r="V63" i="60" s="1"/>
  <c r="V64" i="60" s="1"/>
  <c r="W59" i="60"/>
  <c r="N51" i="60"/>
  <c r="N52" i="60" s="1"/>
  <c r="N53" i="60" s="1"/>
  <c r="N54" i="60" s="1"/>
  <c r="N55" i="60" s="1"/>
  <c r="O50" i="60"/>
  <c r="AD51" i="60"/>
  <c r="AD52" i="60" s="1"/>
  <c r="AD53" i="60" s="1"/>
  <c r="AD54" i="60" s="1"/>
  <c r="AD55" i="60" s="1"/>
  <c r="AE50" i="60"/>
  <c r="V51" i="60"/>
  <c r="V52" i="60" s="1"/>
  <c r="V53" i="60" s="1"/>
  <c r="V54" i="60" s="1"/>
  <c r="V55" i="60" s="1"/>
  <c r="W50" i="60"/>
  <c r="AF42" i="60"/>
  <c r="AF43" i="60" s="1"/>
  <c r="AF44" i="60" s="1"/>
  <c r="AF45" i="60" s="1"/>
  <c r="AF46" i="60" s="1"/>
  <c r="AG41" i="60"/>
  <c r="W42" i="60"/>
  <c r="W43" i="60" s="1"/>
  <c r="W44" i="60" s="1"/>
  <c r="W45" i="60" s="1"/>
  <c r="W46" i="60" s="1"/>
  <c r="X41" i="60"/>
  <c r="K48" i="60"/>
  <c r="D48" i="60"/>
  <c r="C13" i="60"/>
  <c r="D13" i="60" s="1"/>
  <c r="E13" i="60" s="1"/>
  <c r="K11" i="60"/>
  <c r="K13" i="60" s="1"/>
  <c r="D11" i="60"/>
  <c r="G5" i="48"/>
  <c r="A13" i="60" l="1"/>
  <c r="I13" i="60"/>
  <c r="AJ5" i="60"/>
  <c r="AB5" i="60"/>
  <c r="S6" i="60"/>
  <c r="AA6" i="60"/>
  <c r="A8" i="60"/>
  <c r="I8" i="60"/>
  <c r="R7" i="60"/>
  <c r="J7" i="60"/>
  <c r="F13" i="60"/>
  <c r="G13" i="60" s="1"/>
  <c r="H13" i="60" s="1"/>
  <c r="B14" i="60" s="1"/>
  <c r="C14" i="60" s="1"/>
  <c r="D14" i="60" s="1"/>
  <c r="E14" i="60" s="1"/>
  <c r="X6" i="60"/>
  <c r="Y6" i="60" s="1"/>
  <c r="Z6" i="60" s="1"/>
  <c r="T7" i="60" s="1"/>
  <c r="U7" i="60" s="1"/>
  <c r="V7" i="60" s="1"/>
  <c r="W7" i="60" s="1"/>
  <c r="F8" i="60"/>
  <c r="G8" i="60" s="1"/>
  <c r="H8" i="60" s="1"/>
  <c r="B9" i="60" s="1"/>
  <c r="C9" i="60" s="1"/>
  <c r="D9" i="60" s="1"/>
  <c r="E9" i="60" s="1"/>
  <c r="O7" i="60"/>
  <c r="P7" i="60" s="1"/>
  <c r="Q7" i="60" s="1"/>
  <c r="K8" i="60" s="1"/>
  <c r="L8" i="60" s="1"/>
  <c r="M8" i="60" s="1"/>
  <c r="N8" i="60" s="1"/>
  <c r="AG5" i="60"/>
  <c r="AH5" i="60" s="1"/>
  <c r="AI5" i="60" s="1"/>
  <c r="AC6" i="60" s="1"/>
  <c r="AD6" i="60" s="1"/>
  <c r="AE6" i="60" s="1"/>
  <c r="AF6" i="60" s="1"/>
  <c r="F60" i="60"/>
  <c r="F61" i="60" s="1"/>
  <c r="F62" i="60" s="1"/>
  <c r="F63" i="60" s="1"/>
  <c r="F64" i="60" s="1"/>
  <c r="G59" i="60"/>
  <c r="F51" i="60"/>
  <c r="F52" i="60" s="1"/>
  <c r="F53" i="60" s="1"/>
  <c r="F54" i="60" s="1"/>
  <c r="F55" i="60" s="1"/>
  <c r="G50" i="60"/>
  <c r="Q41" i="60"/>
  <c r="Q42" i="60" s="1"/>
  <c r="Q43" i="60" s="1"/>
  <c r="Q44" i="60" s="1"/>
  <c r="Q45" i="60" s="1"/>
  <c r="Q46" i="60" s="1"/>
  <c r="P42" i="60"/>
  <c r="P43" i="60" s="1"/>
  <c r="P44" i="60" s="1"/>
  <c r="P45" i="60" s="1"/>
  <c r="P46" i="60" s="1"/>
  <c r="W51" i="60"/>
  <c r="W52" i="60" s="1"/>
  <c r="W53" i="60" s="1"/>
  <c r="W54" i="60" s="1"/>
  <c r="W55" i="60" s="1"/>
  <c r="X50" i="60"/>
  <c r="AE51" i="60"/>
  <c r="AE52" i="60" s="1"/>
  <c r="AE53" i="60" s="1"/>
  <c r="AE54" i="60" s="1"/>
  <c r="AE55" i="60" s="1"/>
  <c r="AF50" i="60"/>
  <c r="O51" i="60"/>
  <c r="O52" i="60" s="1"/>
  <c r="O53" i="60" s="1"/>
  <c r="O54" i="60" s="1"/>
  <c r="O55" i="60" s="1"/>
  <c r="P50" i="60"/>
  <c r="W60" i="60"/>
  <c r="W61" i="60" s="1"/>
  <c r="W62" i="60" s="1"/>
  <c r="W63" i="60" s="1"/>
  <c r="W64" i="60" s="1"/>
  <c r="X59" i="60"/>
  <c r="AE60" i="60"/>
  <c r="AE61" i="60" s="1"/>
  <c r="AE62" i="60" s="1"/>
  <c r="AE63" i="60" s="1"/>
  <c r="AE64" i="60" s="1"/>
  <c r="AF59" i="60"/>
  <c r="O60" i="60"/>
  <c r="O61" i="60" s="1"/>
  <c r="O62" i="60" s="1"/>
  <c r="O63" i="60" s="1"/>
  <c r="O64" i="60" s="1"/>
  <c r="P59" i="60"/>
  <c r="AG42" i="60"/>
  <c r="AG43" i="60" s="1"/>
  <c r="AG44" i="60" s="1"/>
  <c r="AG45" i="60" s="1"/>
  <c r="AG46" i="60" s="1"/>
  <c r="AH41" i="60"/>
  <c r="X42" i="60"/>
  <c r="X43" i="60" s="1"/>
  <c r="X44" i="60" s="1"/>
  <c r="X45" i="60" s="1"/>
  <c r="X46" i="60" s="1"/>
  <c r="Y41" i="60"/>
  <c r="T48" i="60"/>
  <c r="M48" i="60"/>
  <c r="L13" i="60"/>
  <c r="M13" i="60" s="1"/>
  <c r="N13" i="60" s="1"/>
  <c r="T11" i="60"/>
  <c r="T13" i="60" s="1"/>
  <c r="M11" i="60"/>
  <c r="A14" i="60" l="1"/>
  <c r="I14" i="60"/>
  <c r="R13" i="60"/>
  <c r="J13" i="60"/>
  <c r="AJ6" i="60"/>
  <c r="AB6" i="60"/>
  <c r="R8" i="60"/>
  <c r="J8" i="60"/>
  <c r="A9" i="60"/>
  <c r="I9" i="60"/>
  <c r="S7" i="60"/>
  <c r="AA7" i="60"/>
  <c r="O13" i="60"/>
  <c r="P13" i="60" s="1"/>
  <c r="Q13" i="60" s="1"/>
  <c r="K14" i="60" s="1"/>
  <c r="L14" i="60" s="1"/>
  <c r="M14" i="60" s="1"/>
  <c r="N14" i="60" s="1"/>
  <c r="AG6" i="60"/>
  <c r="AH6" i="60" s="1"/>
  <c r="AI6" i="60" s="1"/>
  <c r="AC7" i="60" s="1"/>
  <c r="AD7" i="60" s="1"/>
  <c r="AE7" i="60" s="1"/>
  <c r="AF7" i="60" s="1"/>
  <c r="O8" i="60"/>
  <c r="P8" i="60" s="1"/>
  <c r="Q8" i="60" s="1"/>
  <c r="K9" i="60" s="1"/>
  <c r="L9" i="60" s="1"/>
  <c r="M9" i="60" s="1"/>
  <c r="N9" i="60" s="1"/>
  <c r="F9" i="60"/>
  <c r="G9" i="60" s="1"/>
  <c r="H9" i="60" s="1"/>
  <c r="X7" i="60"/>
  <c r="Y7" i="60" s="1"/>
  <c r="Z7" i="60" s="1"/>
  <c r="T8" i="60" s="1"/>
  <c r="U8" i="60" s="1"/>
  <c r="V8" i="60" s="1"/>
  <c r="W8" i="60" s="1"/>
  <c r="F14" i="60"/>
  <c r="G14" i="60" s="1"/>
  <c r="H14" i="60" s="1"/>
  <c r="B15" i="60" s="1"/>
  <c r="C15" i="60" s="1"/>
  <c r="D15" i="60" s="1"/>
  <c r="E15" i="60" s="1"/>
  <c r="G60" i="60"/>
  <c r="G61" i="60" s="1"/>
  <c r="G62" i="60" s="1"/>
  <c r="G63" i="60" s="1"/>
  <c r="G64" i="60" s="1"/>
  <c r="H59" i="60"/>
  <c r="H60" i="60" s="1"/>
  <c r="H61" i="60" s="1"/>
  <c r="H62" i="60" s="1"/>
  <c r="H63" i="60" s="1"/>
  <c r="H64" i="60" s="1"/>
  <c r="G51" i="60"/>
  <c r="G52" i="60" s="1"/>
  <c r="G53" i="60" s="1"/>
  <c r="G54" i="60" s="1"/>
  <c r="G55" i="60" s="1"/>
  <c r="H50" i="60"/>
  <c r="H51" i="60" s="1"/>
  <c r="H52" i="60" s="1"/>
  <c r="H53" i="60" s="1"/>
  <c r="H54" i="60" s="1"/>
  <c r="H55" i="60" s="1"/>
  <c r="P60" i="60"/>
  <c r="P61" i="60" s="1"/>
  <c r="P62" i="60" s="1"/>
  <c r="P63" i="60" s="1"/>
  <c r="P64" i="60" s="1"/>
  <c r="Q59" i="60"/>
  <c r="Q60" i="60" s="1"/>
  <c r="Q61" i="60" s="1"/>
  <c r="Q62" i="60" s="1"/>
  <c r="Q63" i="60" s="1"/>
  <c r="Q64" i="60" s="1"/>
  <c r="AF60" i="60"/>
  <c r="AF61" i="60" s="1"/>
  <c r="AF62" i="60" s="1"/>
  <c r="AF63" i="60" s="1"/>
  <c r="AF64" i="60" s="1"/>
  <c r="AG59" i="60"/>
  <c r="X60" i="60"/>
  <c r="X61" i="60" s="1"/>
  <c r="X62" i="60" s="1"/>
  <c r="X63" i="60" s="1"/>
  <c r="X64" i="60" s="1"/>
  <c r="Y59" i="60"/>
  <c r="P51" i="60"/>
  <c r="P52" i="60" s="1"/>
  <c r="P53" i="60" s="1"/>
  <c r="P54" i="60" s="1"/>
  <c r="P55" i="60" s="1"/>
  <c r="Q50" i="60"/>
  <c r="Q51" i="60" s="1"/>
  <c r="Q52" i="60" s="1"/>
  <c r="Q53" i="60" s="1"/>
  <c r="Q54" i="60" s="1"/>
  <c r="Q55" i="60" s="1"/>
  <c r="AF51" i="60"/>
  <c r="AF52" i="60" s="1"/>
  <c r="AF53" i="60" s="1"/>
  <c r="AF54" i="60" s="1"/>
  <c r="AF55" i="60" s="1"/>
  <c r="AG50" i="60"/>
  <c r="X51" i="60"/>
  <c r="X52" i="60" s="1"/>
  <c r="X53" i="60" s="1"/>
  <c r="X54" i="60" s="1"/>
  <c r="X55" i="60" s="1"/>
  <c r="Y50" i="60"/>
  <c r="AH42" i="60"/>
  <c r="AH43" i="60" s="1"/>
  <c r="AH44" i="60" s="1"/>
  <c r="AH45" i="60" s="1"/>
  <c r="AH46" i="60" s="1"/>
  <c r="AI41" i="60"/>
  <c r="AI42" i="60" s="1"/>
  <c r="AI43" i="60" s="1"/>
  <c r="AI44" i="60" s="1"/>
  <c r="AI45" i="60" s="1"/>
  <c r="AI46" i="60" s="1"/>
  <c r="Y42" i="60"/>
  <c r="Y43" i="60" s="1"/>
  <c r="Y44" i="60" s="1"/>
  <c r="Y45" i="60" s="1"/>
  <c r="Y46" i="60" s="1"/>
  <c r="Z41" i="60"/>
  <c r="Z42" i="60" s="1"/>
  <c r="Z43" i="60" s="1"/>
  <c r="Z44" i="60" s="1"/>
  <c r="Z45" i="60" s="1"/>
  <c r="Z46" i="60" s="1"/>
  <c r="AC48" i="60"/>
  <c r="V48" i="60"/>
  <c r="U13" i="60"/>
  <c r="V13" i="60" s="1"/>
  <c r="W13" i="60" s="1"/>
  <c r="AC11" i="60"/>
  <c r="AC13" i="60" s="1"/>
  <c r="V11" i="60"/>
  <c r="R9" i="60" l="1"/>
  <c r="J9" i="60"/>
  <c r="AJ7" i="60"/>
  <c r="AB7" i="60"/>
  <c r="S13" i="60"/>
  <c r="AA13" i="60"/>
  <c r="S8" i="60"/>
  <c r="AA8" i="60"/>
  <c r="R14" i="60"/>
  <c r="J14" i="60"/>
  <c r="A15" i="60"/>
  <c r="I15" i="60"/>
  <c r="X13" i="60"/>
  <c r="Y13" i="60" s="1"/>
  <c r="Z13" i="60" s="1"/>
  <c r="T14" i="60" s="1"/>
  <c r="U14" i="60" s="1"/>
  <c r="V14" i="60" s="1"/>
  <c r="W14" i="60" s="1"/>
  <c r="F15" i="60"/>
  <c r="G15" i="60" s="1"/>
  <c r="H15" i="60" s="1"/>
  <c r="B16" i="60" s="1"/>
  <c r="C16" i="60" s="1"/>
  <c r="D16" i="60" s="1"/>
  <c r="E16" i="60" s="1"/>
  <c r="X8" i="60"/>
  <c r="Y8" i="60" s="1"/>
  <c r="Z8" i="60" s="1"/>
  <c r="T9" i="60" s="1"/>
  <c r="U9" i="60" s="1"/>
  <c r="V9" i="60" s="1"/>
  <c r="W9" i="60" s="1"/>
  <c r="O9" i="60"/>
  <c r="P9" i="60" s="1"/>
  <c r="Q9" i="60" s="1"/>
  <c r="AG7" i="60"/>
  <c r="AH7" i="60" s="1"/>
  <c r="AI7" i="60" s="1"/>
  <c r="AC8" i="60" s="1"/>
  <c r="AD8" i="60" s="1"/>
  <c r="AE8" i="60" s="1"/>
  <c r="AF8" i="60" s="1"/>
  <c r="O14" i="60"/>
  <c r="P14" i="60" s="1"/>
  <c r="Q14" i="60" s="1"/>
  <c r="K15" i="60" s="1"/>
  <c r="L15" i="60" s="1"/>
  <c r="M15" i="60" s="1"/>
  <c r="N15" i="60" s="1"/>
  <c r="Y51" i="60"/>
  <c r="Y52" i="60" s="1"/>
  <c r="Y53" i="60" s="1"/>
  <c r="Y54" i="60" s="1"/>
  <c r="Y55" i="60" s="1"/>
  <c r="Z50" i="60"/>
  <c r="Z51" i="60" s="1"/>
  <c r="Z52" i="60" s="1"/>
  <c r="Z53" i="60" s="1"/>
  <c r="Z54" i="60" s="1"/>
  <c r="Z55" i="60" s="1"/>
  <c r="AG51" i="60"/>
  <c r="AG52" i="60" s="1"/>
  <c r="AG53" i="60" s="1"/>
  <c r="AG54" i="60" s="1"/>
  <c r="AG55" i="60" s="1"/>
  <c r="AH50" i="60"/>
  <c r="Y60" i="60"/>
  <c r="Y61" i="60" s="1"/>
  <c r="Y62" i="60" s="1"/>
  <c r="Y63" i="60" s="1"/>
  <c r="Y64" i="60" s="1"/>
  <c r="Z59" i="60"/>
  <c r="Z60" i="60" s="1"/>
  <c r="Z61" i="60" s="1"/>
  <c r="Z62" i="60" s="1"/>
  <c r="Z63" i="60" s="1"/>
  <c r="Z64" i="60" s="1"/>
  <c r="AG60" i="60"/>
  <c r="AG61" i="60" s="1"/>
  <c r="AG62" i="60" s="1"/>
  <c r="AG63" i="60" s="1"/>
  <c r="AG64" i="60" s="1"/>
  <c r="AH59" i="60"/>
  <c r="B57" i="60"/>
  <c r="AE48" i="60"/>
  <c r="B20" i="60"/>
  <c r="B22" i="60" s="1"/>
  <c r="AD13" i="60"/>
  <c r="AE13" i="60" s="1"/>
  <c r="AF13" i="60" s="1"/>
  <c r="AE11" i="60"/>
  <c r="S9" i="60" l="1"/>
  <c r="AA9" i="60"/>
  <c r="AJ13" i="60"/>
  <c r="AB13" i="60"/>
  <c r="A16" i="60"/>
  <c r="I16" i="60"/>
  <c r="S14" i="60"/>
  <c r="AA14" i="60"/>
  <c r="AB8" i="60"/>
  <c r="AJ8" i="60"/>
  <c r="R15" i="60"/>
  <c r="J15" i="60"/>
  <c r="AG13" i="60"/>
  <c r="AH13" i="60" s="1"/>
  <c r="AI13" i="60" s="1"/>
  <c r="AC14" i="60" s="1"/>
  <c r="AD14" i="60" s="1"/>
  <c r="AE14" i="60" s="1"/>
  <c r="AF14" i="60" s="1"/>
  <c r="O15" i="60"/>
  <c r="P15" i="60" s="1"/>
  <c r="Q15" i="60" s="1"/>
  <c r="K16" i="60" s="1"/>
  <c r="L16" i="60" s="1"/>
  <c r="M16" i="60" s="1"/>
  <c r="N16" i="60" s="1"/>
  <c r="AG8" i="60"/>
  <c r="AH8" i="60" s="1"/>
  <c r="AI8" i="60" s="1"/>
  <c r="AC9" i="60" s="1"/>
  <c r="AD9" i="60" s="1"/>
  <c r="AE9" i="60" s="1"/>
  <c r="AF9" i="60" s="1"/>
  <c r="X9" i="60"/>
  <c r="Y9" i="60" s="1"/>
  <c r="Z9" i="60" s="1"/>
  <c r="F16" i="60"/>
  <c r="G16" i="60" s="1"/>
  <c r="H16" i="60" s="1"/>
  <c r="B17" i="60" s="1"/>
  <c r="C17" i="60" s="1"/>
  <c r="D17" i="60" s="1"/>
  <c r="E17" i="60" s="1"/>
  <c r="X14" i="60"/>
  <c r="Y14" i="60" s="1"/>
  <c r="Z14" i="60" s="1"/>
  <c r="T15" i="60" s="1"/>
  <c r="U15" i="60" s="1"/>
  <c r="V15" i="60" s="1"/>
  <c r="W15" i="60" s="1"/>
  <c r="AH60" i="60"/>
  <c r="AH61" i="60" s="1"/>
  <c r="AH62" i="60" s="1"/>
  <c r="AH63" i="60" s="1"/>
  <c r="AH64" i="60" s="1"/>
  <c r="AI59" i="60"/>
  <c r="AI60" i="60" s="1"/>
  <c r="AI61" i="60" s="1"/>
  <c r="AI62" i="60" s="1"/>
  <c r="AI63" i="60" s="1"/>
  <c r="AI64" i="60" s="1"/>
  <c r="AH51" i="60"/>
  <c r="AH52" i="60" s="1"/>
  <c r="AH53" i="60" s="1"/>
  <c r="AH54" i="60" s="1"/>
  <c r="AH55" i="60" s="1"/>
  <c r="AI50" i="60"/>
  <c r="AI51" i="60" s="1"/>
  <c r="AI52" i="60" s="1"/>
  <c r="AI53" i="60" s="1"/>
  <c r="AI54" i="60" s="1"/>
  <c r="AI55" i="60" s="1"/>
  <c r="K57" i="60"/>
  <c r="D57" i="60"/>
  <c r="C22" i="60"/>
  <c r="D22" i="60" s="1"/>
  <c r="E22" i="60" s="1"/>
  <c r="K20" i="60"/>
  <c r="K22" i="60" s="1"/>
  <c r="D20" i="60"/>
  <c r="A17" i="60" l="1"/>
  <c r="I17" i="60"/>
  <c r="AJ9" i="60"/>
  <c r="AB9" i="60"/>
  <c r="R16" i="60"/>
  <c r="J16" i="60"/>
  <c r="AJ14" i="60"/>
  <c r="AB14" i="60"/>
  <c r="A22" i="60"/>
  <c r="I22" i="60"/>
  <c r="S15" i="60"/>
  <c r="AA15" i="60"/>
  <c r="F22" i="60"/>
  <c r="G22" i="60" s="1"/>
  <c r="H22" i="60" s="1"/>
  <c r="B23" i="60" s="1"/>
  <c r="C23" i="60" s="1"/>
  <c r="D23" i="60" s="1"/>
  <c r="E23" i="60" s="1"/>
  <c r="X15" i="60"/>
  <c r="Y15" i="60" s="1"/>
  <c r="Z15" i="60" s="1"/>
  <c r="T16" i="60" s="1"/>
  <c r="U16" i="60" s="1"/>
  <c r="V16" i="60" s="1"/>
  <c r="W16" i="60" s="1"/>
  <c r="F17" i="60"/>
  <c r="G17" i="60" s="1"/>
  <c r="H17" i="60" s="1"/>
  <c r="B18" i="60" s="1"/>
  <c r="C18" i="60" s="1"/>
  <c r="D18" i="60" s="1"/>
  <c r="E18" i="60" s="1"/>
  <c r="AG9" i="60"/>
  <c r="AH9" i="60" s="1"/>
  <c r="AI9" i="60" s="1"/>
  <c r="O16" i="60"/>
  <c r="P16" i="60" s="1"/>
  <c r="Q16" i="60" s="1"/>
  <c r="K17" i="60" s="1"/>
  <c r="L17" i="60" s="1"/>
  <c r="M17" i="60" s="1"/>
  <c r="N17" i="60" s="1"/>
  <c r="AG14" i="60"/>
  <c r="AH14" i="60" s="1"/>
  <c r="AI14" i="60" s="1"/>
  <c r="AC15" i="60" s="1"/>
  <c r="AD15" i="60" s="1"/>
  <c r="AE15" i="60" s="1"/>
  <c r="AF15" i="60" s="1"/>
  <c r="T57" i="60"/>
  <c r="M57" i="60"/>
  <c r="T20" i="60"/>
  <c r="T22" i="60" s="1"/>
  <c r="L22" i="60"/>
  <c r="M22" i="60" s="1"/>
  <c r="M20" i="60"/>
  <c r="A18" i="60" l="1"/>
  <c r="I18" i="60"/>
  <c r="AJ15" i="60"/>
  <c r="AB15" i="60"/>
  <c r="R17" i="60"/>
  <c r="J17" i="60"/>
  <c r="A23" i="60"/>
  <c r="I23" i="60"/>
  <c r="S16" i="60"/>
  <c r="AA16" i="60"/>
  <c r="AG15" i="60"/>
  <c r="AH15" i="60" s="1"/>
  <c r="AI15" i="60" s="1"/>
  <c r="AC16" i="60" s="1"/>
  <c r="AD16" i="60" s="1"/>
  <c r="AE16" i="60" s="1"/>
  <c r="AF16" i="60" s="1"/>
  <c r="O17" i="60"/>
  <c r="P17" i="60" s="1"/>
  <c r="Q17" i="60" s="1"/>
  <c r="K18" i="60" s="1"/>
  <c r="L18" i="60" s="1"/>
  <c r="M18" i="60" s="1"/>
  <c r="N18" i="60" s="1"/>
  <c r="F18" i="60"/>
  <c r="G18" i="60" s="1"/>
  <c r="H18" i="60" s="1"/>
  <c r="X16" i="60"/>
  <c r="Y16" i="60" s="1"/>
  <c r="Z16" i="60" s="1"/>
  <c r="T17" i="60" s="1"/>
  <c r="U17" i="60" s="1"/>
  <c r="V17" i="60" s="1"/>
  <c r="W17" i="60" s="1"/>
  <c r="F23" i="60"/>
  <c r="G23" i="60" s="1"/>
  <c r="H23" i="60" s="1"/>
  <c r="B24" i="60" s="1"/>
  <c r="C24" i="60" s="1"/>
  <c r="D24" i="60" s="1"/>
  <c r="E24" i="60" s="1"/>
  <c r="AC57" i="60"/>
  <c r="V57" i="60"/>
  <c r="N22" i="60"/>
  <c r="O22" i="60" s="1"/>
  <c r="P22" i="60" s="1"/>
  <c r="Q22" i="60" s="1"/>
  <c r="K23" i="60" s="1"/>
  <c r="L23" i="60" s="1"/>
  <c r="M23" i="60" s="1"/>
  <c r="N23" i="60" s="1"/>
  <c r="AC20" i="60"/>
  <c r="AC22" i="60" s="1"/>
  <c r="V20" i="60"/>
  <c r="R23" i="60" l="1"/>
  <c r="J23" i="60"/>
  <c r="A24" i="60"/>
  <c r="I24" i="60"/>
  <c r="R18" i="60"/>
  <c r="J18" i="60"/>
  <c r="S17" i="60"/>
  <c r="AA17" i="60"/>
  <c r="AJ16" i="60"/>
  <c r="AB16" i="60"/>
  <c r="R22" i="60"/>
  <c r="J22" i="60"/>
  <c r="O23" i="60"/>
  <c r="P23" i="60" s="1"/>
  <c r="Q23" i="60" s="1"/>
  <c r="K24" i="60" s="1"/>
  <c r="L24" i="60" s="1"/>
  <c r="M24" i="60" s="1"/>
  <c r="N24" i="60" s="1"/>
  <c r="F24" i="60"/>
  <c r="G24" i="60" s="1"/>
  <c r="H24" i="60" s="1"/>
  <c r="B25" i="60" s="1"/>
  <c r="C25" i="60" s="1"/>
  <c r="D25" i="60" s="1"/>
  <c r="E25" i="60" s="1"/>
  <c r="X17" i="60"/>
  <c r="Y17" i="60" s="1"/>
  <c r="Z17" i="60" s="1"/>
  <c r="T18" i="60" s="1"/>
  <c r="U18" i="60" s="1"/>
  <c r="V18" i="60" s="1"/>
  <c r="W18" i="60" s="1"/>
  <c r="O18" i="60"/>
  <c r="P18" i="60" s="1"/>
  <c r="Q18" i="60" s="1"/>
  <c r="AG16" i="60"/>
  <c r="AH16" i="60" s="1"/>
  <c r="AI16" i="60" s="1"/>
  <c r="AC17" i="60" s="1"/>
  <c r="AD17" i="60" s="1"/>
  <c r="AE17" i="60" s="1"/>
  <c r="AF17" i="60" s="1"/>
  <c r="AE57" i="60"/>
  <c r="U22" i="60"/>
  <c r="V22" i="60" s="1"/>
  <c r="W22" i="60" s="1"/>
  <c r="AE20" i="60"/>
  <c r="A25" i="60" l="1"/>
  <c r="I25" i="60"/>
  <c r="R24" i="60"/>
  <c r="J24" i="60"/>
  <c r="S22" i="60"/>
  <c r="AA22" i="60"/>
  <c r="S18" i="60"/>
  <c r="AA18" i="60"/>
  <c r="AB17" i="60"/>
  <c r="AJ17" i="60"/>
  <c r="X22" i="60"/>
  <c r="Y22" i="60" s="1"/>
  <c r="Z22" i="60" s="1"/>
  <c r="T23" i="60" s="1"/>
  <c r="U23" i="60" s="1"/>
  <c r="V23" i="60" s="1"/>
  <c r="W23" i="60" s="1"/>
  <c r="AG17" i="60"/>
  <c r="AH17" i="60" s="1"/>
  <c r="AI17" i="60" s="1"/>
  <c r="AC18" i="60" s="1"/>
  <c r="AD18" i="60" s="1"/>
  <c r="AE18" i="60" s="1"/>
  <c r="AF18" i="60" s="1"/>
  <c r="X18" i="60"/>
  <c r="Y18" i="60" s="1"/>
  <c r="Z18" i="60" s="1"/>
  <c r="F25" i="60"/>
  <c r="G25" i="60" s="1"/>
  <c r="H25" i="60" s="1"/>
  <c r="B26" i="60" s="1"/>
  <c r="C26" i="60" s="1"/>
  <c r="D26" i="60" s="1"/>
  <c r="E26" i="60" s="1"/>
  <c r="O24" i="60"/>
  <c r="P24" i="60" s="1"/>
  <c r="Q24" i="60" s="1"/>
  <c r="K25" i="60" s="1"/>
  <c r="L25" i="60" s="1"/>
  <c r="M25" i="60" s="1"/>
  <c r="N25" i="60" s="1"/>
  <c r="AD22" i="60"/>
  <c r="AE22" i="60" s="1"/>
  <c r="AF22" i="60" s="1"/>
  <c r="AJ22" i="60" l="1"/>
  <c r="AB22" i="60"/>
  <c r="R25" i="60"/>
  <c r="J25" i="60"/>
  <c r="AJ18" i="60"/>
  <c r="AB18" i="60"/>
  <c r="S23" i="60"/>
  <c r="AA23" i="60"/>
  <c r="A26" i="60"/>
  <c r="I26" i="60"/>
  <c r="AG22" i="60"/>
  <c r="AH22" i="60" s="1"/>
  <c r="AI22" i="60" s="1"/>
  <c r="AC23" i="60" s="1"/>
  <c r="AD23" i="60" s="1"/>
  <c r="AE23" i="60" s="1"/>
  <c r="AF23" i="60" s="1"/>
  <c r="O25" i="60"/>
  <c r="P25" i="60" s="1"/>
  <c r="Q25" i="60" s="1"/>
  <c r="K26" i="60" s="1"/>
  <c r="L26" i="60" s="1"/>
  <c r="M26" i="60" s="1"/>
  <c r="N26" i="60" s="1"/>
  <c r="F26" i="60"/>
  <c r="G26" i="60" s="1"/>
  <c r="H26" i="60" s="1"/>
  <c r="B27" i="60" s="1"/>
  <c r="C27" i="60" s="1"/>
  <c r="D27" i="60" s="1"/>
  <c r="E27" i="60" s="1"/>
  <c r="AG18" i="60"/>
  <c r="AH18" i="60" s="1"/>
  <c r="AI18" i="60" s="1"/>
  <c r="X23" i="60"/>
  <c r="Y23" i="60" s="1"/>
  <c r="Z23" i="60" s="1"/>
  <c r="T24" i="60" s="1"/>
  <c r="U24" i="60" s="1"/>
  <c r="V24" i="60" s="1"/>
  <c r="W24" i="60" s="1"/>
  <c r="A27" i="60" l="1"/>
  <c r="I27" i="60"/>
  <c r="S24" i="60"/>
  <c r="AA24" i="60"/>
  <c r="AB23" i="60"/>
  <c r="AJ23" i="60"/>
  <c r="R26" i="60"/>
  <c r="J26" i="60"/>
  <c r="K35" i="60"/>
  <c r="C35" i="60"/>
  <c r="X24" i="60"/>
  <c r="Y24" i="60" s="1"/>
  <c r="Z24" i="60" s="1"/>
  <c r="T25" i="60" s="1"/>
  <c r="U25" i="60" s="1"/>
  <c r="V25" i="60" s="1"/>
  <c r="W25" i="60" s="1"/>
  <c r="F27" i="60"/>
  <c r="G27" i="60" s="1"/>
  <c r="H27" i="60" s="1"/>
  <c r="O26" i="60"/>
  <c r="P26" i="60" s="1"/>
  <c r="Q26" i="60" s="1"/>
  <c r="K27" i="60" s="1"/>
  <c r="L27" i="60" s="1"/>
  <c r="M27" i="60" s="1"/>
  <c r="N27" i="60" s="1"/>
  <c r="AG23" i="60"/>
  <c r="AH23" i="60" s="1"/>
  <c r="AI23" i="60" s="1"/>
  <c r="AC24" i="60" s="1"/>
  <c r="AD24" i="60" s="1"/>
  <c r="AE24" i="60" s="1"/>
  <c r="AF24" i="60" s="1"/>
  <c r="AJ24" i="60" l="1"/>
  <c r="AB24" i="60"/>
  <c r="R27" i="60"/>
  <c r="J27" i="60"/>
  <c r="S25" i="60"/>
  <c r="AA25" i="60"/>
  <c r="T35" i="60"/>
  <c r="L35" i="60"/>
  <c r="AG24" i="60"/>
  <c r="AH24" i="60" s="1"/>
  <c r="AI24" i="60" s="1"/>
  <c r="AC25" i="60" s="1"/>
  <c r="AD25" i="60" s="1"/>
  <c r="AE25" i="60" s="1"/>
  <c r="AF25" i="60" s="1"/>
  <c r="O27" i="60"/>
  <c r="P27" i="60" s="1"/>
  <c r="Q27" i="60" s="1"/>
  <c r="X25" i="60"/>
  <c r="Y25" i="60" s="1"/>
  <c r="Z25" i="60" s="1"/>
  <c r="T26" i="60" s="1"/>
  <c r="U26" i="60" s="1"/>
  <c r="V26" i="60" s="1"/>
  <c r="W26" i="60" s="1"/>
  <c r="S26" i="60" l="1"/>
  <c r="AA26" i="60"/>
  <c r="AJ25" i="60"/>
  <c r="AB25" i="60"/>
  <c r="X26" i="60"/>
  <c r="Y26" i="60" s="1"/>
  <c r="Z26" i="60" s="1"/>
  <c r="T27" i="60" s="1"/>
  <c r="U27" i="60" s="1"/>
  <c r="V27" i="60" s="1"/>
  <c r="W27" i="60" s="1"/>
  <c r="AG25" i="60"/>
  <c r="AH25" i="60" s="1"/>
  <c r="AI25" i="60" s="1"/>
  <c r="AC26" i="60" s="1"/>
  <c r="AD26" i="60" s="1"/>
  <c r="AE26" i="60" s="1"/>
  <c r="AF26" i="60" s="1"/>
  <c r="AB26" i="60" l="1"/>
  <c r="AJ26" i="60"/>
  <c r="S27" i="60"/>
  <c r="AA27" i="60"/>
  <c r="AC35" i="60"/>
  <c r="U35" i="60"/>
  <c r="AG26" i="60"/>
  <c r="AH26" i="60" s="1"/>
  <c r="AI26" i="60" s="1"/>
  <c r="AC27" i="60" s="1"/>
  <c r="AD27" i="60" s="1"/>
  <c r="AE27" i="60" s="1"/>
  <c r="AF27" i="60" s="1"/>
  <c r="X27" i="60"/>
  <c r="Y27" i="60" s="1"/>
  <c r="Z27" i="60" s="1"/>
  <c r="AJ27" i="60" l="1"/>
  <c r="AB27" i="60"/>
  <c r="AD35" i="60"/>
  <c r="AL35" i="60"/>
  <c r="AG27" i="60"/>
  <c r="AH27" i="60" s="1"/>
  <c r="AI27" i="60" s="1"/>
  <c r="B36" i="60" l="1"/>
  <c r="C36" i="60" s="1"/>
</calcChain>
</file>

<file path=xl/sharedStrings.xml><?xml version="1.0" encoding="utf-8"?>
<sst xmlns="http://schemas.openxmlformats.org/spreadsheetml/2006/main" count="1229" uniqueCount="314">
  <si>
    <t>カレンダー</t>
    <phoneticPr fontId="1"/>
  </si>
  <si>
    <t>月</t>
    <rPh sb="0" eb="1">
      <t>ガツ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</si>
  <si>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</si>
  <si>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</si>
  <si>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</si>
  <si>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</si>
  <si>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</si>
  <si>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</si>
  <si>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</si>
  <si>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日付</t>
  </si>
  <si>
    <t>名称</t>
  </si>
  <si>
    <t>元日</t>
  </si>
  <si>
    <t>成人の日</t>
  </si>
  <si>
    <t>建国記念の日</t>
  </si>
  <si>
    <t>休日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</si>
  <si>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</si>
  <si>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</si>
  <si>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</si>
  <si>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</si>
  <si>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</si>
  <si>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</si>
  <si>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</si>
  <si>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</si>
  <si>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</si>
  <si>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</si>
  <si>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</si>
  <si>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</si>
  <si>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</si>
  <si>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</si>
  <si>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P1</t>
    <phoneticPr fontId="1"/>
  </si>
  <si>
    <t>第</t>
    <rPh sb="0" eb="1">
      <t>ダイ</t>
    </rPh>
    <phoneticPr fontId="1"/>
  </si>
  <si>
    <t>週目</t>
    <rPh sb="0" eb="2">
      <t>シュウメ</t>
    </rPh>
    <phoneticPr fontId="1"/>
  </si>
  <si>
    <t>P2</t>
    <phoneticPr fontId="1"/>
  </si>
  <si>
    <t>年間行事予定</t>
    <rPh sb="0" eb="2">
      <t>ネンカン</t>
    </rPh>
    <rPh sb="2" eb="4">
      <t>ギョウジ</t>
    </rPh>
    <rPh sb="4" eb="6">
      <t>ヨテイ</t>
    </rPh>
    <phoneticPr fontId="1"/>
  </si>
  <si>
    <t>４月１日は</t>
    <rPh sb="1" eb="2">
      <t>ガツ</t>
    </rPh>
    <rPh sb="3" eb="4">
      <t>ニチ</t>
    </rPh>
    <phoneticPr fontId="1"/>
  </si>
  <si>
    <t>月</t>
  </si>
  <si>
    <t>火</t>
  </si>
  <si>
    <t>水</t>
  </si>
  <si>
    <t>木</t>
  </si>
  <si>
    <t>金</t>
  </si>
  <si>
    <t>朝</t>
    <rPh sb="0" eb="1">
      <t>アサ</t>
    </rPh>
    <phoneticPr fontId="1"/>
  </si>
  <si>
    <t>昼</t>
    <rPh sb="0" eb="1">
      <t>ヒル</t>
    </rPh>
    <phoneticPr fontId="1"/>
  </si>
  <si>
    <t>業後</t>
    <rPh sb="0" eb="2">
      <t>ギョウゴ</t>
    </rPh>
    <phoneticPr fontId="1"/>
  </si>
  <si>
    <t>指導計画</t>
    <rPh sb="0" eb="4">
      <t>シドウケイカク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</si>
  <si>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</si>
  <si>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</si>
  <si>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名称</t>
    <rPh sb="0" eb="2">
      <t>メイショウ</t>
    </rPh>
    <phoneticPr fontId="1"/>
  </si>
  <si>
    <t>休日区分</t>
    <rPh sb="0" eb="2">
      <t>キュウジツ</t>
    </rPh>
    <rPh sb="2" eb="4">
      <t>クブン</t>
    </rPh>
    <phoneticPr fontId="1"/>
  </si>
  <si>
    <t>国民の休日</t>
  </si>
  <si>
    <t>赤</t>
    <rPh sb="0" eb="1">
      <t>アカ</t>
    </rPh>
    <phoneticPr fontId="1"/>
  </si>
  <si>
    <t>青</t>
    <rPh sb="0" eb="1">
      <t>アオ</t>
    </rPh>
    <phoneticPr fontId="1"/>
  </si>
  <si>
    <t>緑</t>
    <rPh sb="0" eb="1">
      <t>ミドリ</t>
    </rPh>
    <phoneticPr fontId="1"/>
  </si>
  <si>
    <t>黄</t>
    <rPh sb="0" eb="1">
      <t>キ</t>
    </rPh>
    <phoneticPr fontId="1"/>
  </si>
  <si>
    <t>灰</t>
    <rPh sb="0" eb="1">
      <t>ハイ</t>
    </rPh>
    <phoneticPr fontId="1"/>
  </si>
  <si>
    <t>【説明】</t>
    <rPh sb="1" eb="3">
      <t>セツメイ</t>
    </rPh>
    <phoneticPr fontId="1"/>
  </si>
  <si>
    <t>②時間割</t>
    <rPh sb="1" eb="4">
      <t>ジカンワリ</t>
    </rPh>
    <phoneticPr fontId="1"/>
  </si>
  <si>
    <t>①授業リスト</t>
    <rPh sb="1" eb="3">
      <t>ジュギョウ</t>
    </rPh>
    <phoneticPr fontId="1"/>
  </si>
  <si>
    <t>①授業リストを設定。
②時間割を設定。（Alt＋↓を押すと楽です。）
③時間割完成ボタンを押す。</t>
    <rPh sb="1" eb="3">
      <t>ジュギョウ</t>
    </rPh>
    <rPh sb="7" eb="9">
      <t>セッテイ</t>
    </rPh>
    <rPh sb="12" eb="15">
      <t>ジカンワリ</t>
    </rPh>
    <rPh sb="16" eb="18">
      <t>セッテイ</t>
    </rPh>
    <rPh sb="26" eb="27">
      <t>オ</t>
    </rPh>
    <rPh sb="29" eb="30">
      <t>ラク</t>
    </rPh>
    <rPh sb="36" eb="39">
      <t>ジカンワリ</t>
    </rPh>
    <rPh sb="39" eb="41">
      <t>カンセイ</t>
    </rPh>
    <rPh sb="45" eb="46">
      <t>オ</t>
    </rPh>
    <phoneticPr fontId="1"/>
  </si>
  <si>
    <t>曜日</t>
    <rPh sb="0" eb="2">
      <t>ヨウビ</t>
    </rPh>
    <phoneticPr fontId="36"/>
  </si>
  <si>
    <t>令和７年度(2025年)</t>
  </si>
  <si>
    <t>応時中学校年間行事計画　</t>
    <phoneticPr fontId="36"/>
  </si>
  <si>
    <t>４月</t>
    <rPh sb="1" eb="2">
      <t>ガツ</t>
    </rPh>
    <phoneticPr fontId="36"/>
  </si>
  <si>
    <t>５月</t>
    <rPh sb="1" eb="2">
      <t>ガツ</t>
    </rPh>
    <phoneticPr fontId="36"/>
  </si>
  <si>
    <t>６月</t>
    <rPh sb="1" eb="2">
      <t>ガツ</t>
    </rPh>
    <phoneticPr fontId="36"/>
  </si>
  <si>
    <t>７月</t>
    <rPh sb="1" eb="2">
      <t>ガツ</t>
    </rPh>
    <phoneticPr fontId="36"/>
  </si>
  <si>
    <t>８月</t>
    <rPh sb="1" eb="2">
      <t>ガツ</t>
    </rPh>
    <phoneticPr fontId="36"/>
  </si>
  <si>
    <t>９月</t>
    <rPh sb="1" eb="2">
      <t>ガツ</t>
    </rPh>
    <phoneticPr fontId="36"/>
  </si>
  <si>
    <t>１０月</t>
    <rPh sb="2" eb="3">
      <t>ガツ</t>
    </rPh>
    <phoneticPr fontId="36"/>
  </si>
  <si>
    <t>１１月</t>
    <rPh sb="2" eb="3">
      <t>ガツ</t>
    </rPh>
    <phoneticPr fontId="36"/>
  </si>
  <si>
    <t>１２月</t>
    <rPh sb="2" eb="3">
      <t>ガツ</t>
    </rPh>
    <phoneticPr fontId="36"/>
  </si>
  <si>
    <t>１月</t>
    <rPh sb="1" eb="2">
      <t>ガツ</t>
    </rPh>
    <phoneticPr fontId="36"/>
  </si>
  <si>
    <t>２月</t>
    <rPh sb="1" eb="2">
      <t>ガツ</t>
    </rPh>
    <phoneticPr fontId="36"/>
  </si>
  <si>
    <t>３月</t>
    <rPh sb="1" eb="2">
      <t>ガツ</t>
    </rPh>
    <phoneticPr fontId="36"/>
  </si>
  <si>
    <t>1火</t>
  </si>
  <si>
    <t>1木</t>
  </si>
  <si>
    <t>1日</t>
  </si>
  <si>
    <t>1金</t>
  </si>
  <si>
    <t>1月</t>
  </si>
  <si>
    <t>1水</t>
  </si>
  <si>
    <t>1土</t>
  </si>
  <si>
    <t>2水</t>
  </si>
  <si>
    <t>2金</t>
  </si>
  <si>
    <t>2月</t>
  </si>
  <si>
    <t>2土</t>
  </si>
  <si>
    <t>2火</t>
  </si>
  <si>
    <t>2木</t>
  </si>
  <si>
    <t>2日</t>
  </si>
  <si>
    <t>3木</t>
  </si>
  <si>
    <t>3土</t>
  </si>
  <si>
    <t>3火</t>
  </si>
  <si>
    <t>3日</t>
  </si>
  <si>
    <t>3水</t>
  </si>
  <si>
    <t>3金</t>
  </si>
  <si>
    <t>3月</t>
  </si>
  <si>
    <t>4金</t>
  </si>
  <si>
    <t>4日</t>
  </si>
  <si>
    <t>4水</t>
  </si>
  <si>
    <t>4月</t>
  </si>
  <si>
    <t>4木</t>
  </si>
  <si>
    <t>4土</t>
  </si>
  <si>
    <t>4火</t>
  </si>
  <si>
    <t>5土</t>
  </si>
  <si>
    <t>5月</t>
  </si>
  <si>
    <t>5木</t>
  </si>
  <si>
    <t>5火</t>
  </si>
  <si>
    <t>5金</t>
  </si>
  <si>
    <t>5日</t>
  </si>
  <si>
    <t>5水</t>
  </si>
  <si>
    <t>6日</t>
  </si>
  <si>
    <t>6火</t>
  </si>
  <si>
    <t>6金</t>
  </si>
  <si>
    <t>6水</t>
  </si>
  <si>
    <t>6土</t>
  </si>
  <si>
    <t>6月</t>
  </si>
  <si>
    <t>6木</t>
  </si>
  <si>
    <t>7月</t>
  </si>
  <si>
    <t>7水</t>
  </si>
  <si>
    <t>7土</t>
  </si>
  <si>
    <t>7木</t>
  </si>
  <si>
    <t>7日</t>
  </si>
  <si>
    <t>7火</t>
  </si>
  <si>
    <t>7金</t>
  </si>
  <si>
    <t>8火</t>
  </si>
  <si>
    <t>8木</t>
  </si>
  <si>
    <t>8日</t>
  </si>
  <si>
    <t>8金</t>
  </si>
  <si>
    <t>8月</t>
  </si>
  <si>
    <t>8水</t>
  </si>
  <si>
    <t>8土</t>
  </si>
  <si>
    <t>9水</t>
  </si>
  <si>
    <t>9金</t>
  </si>
  <si>
    <t>9月</t>
  </si>
  <si>
    <t>9土</t>
  </si>
  <si>
    <t>9火</t>
  </si>
  <si>
    <t>9木</t>
  </si>
  <si>
    <t>9日</t>
  </si>
  <si>
    <t>10木</t>
  </si>
  <si>
    <t>10土</t>
  </si>
  <si>
    <t>10火</t>
  </si>
  <si>
    <t>10日</t>
  </si>
  <si>
    <t>10水</t>
  </si>
  <si>
    <t>10金</t>
  </si>
  <si>
    <t>10月</t>
  </si>
  <si>
    <t>11金</t>
  </si>
  <si>
    <t>11日</t>
  </si>
  <si>
    <t>11水</t>
  </si>
  <si>
    <t>11月</t>
  </si>
  <si>
    <t>11木</t>
  </si>
  <si>
    <t>11土</t>
  </si>
  <si>
    <t>11火</t>
  </si>
  <si>
    <t>12土</t>
  </si>
  <si>
    <t>12月</t>
  </si>
  <si>
    <t>12木</t>
  </si>
  <si>
    <t>12火</t>
  </si>
  <si>
    <t>12金</t>
  </si>
  <si>
    <t>12日</t>
  </si>
  <si>
    <t>12水</t>
  </si>
  <si>
    <t>13日</t>
  </si>
  <si>
    <t>13火</t>
  </si>
  <si>
    <t>13金</t>
  </si>
  <si>
    <t>13水</t>
  </si>
  <si>
    <t>13土</t>
  </si>
  <si>
    <t>13月</t>
  </si>
  <si>
    <t>13木</t>
  </si>
  <si>
    <t>14月</t>
  </si>
  <si>
    <t>14水</t>
  </si>
  <si>
    <t>14土</t>
  </si>
  <si>
    <t>14木</t>
  </si>
  <si>
    <t>14日</t>
  </si>
  <si>
    <t>14火</t>
  </si>
  <si>
    <t>14金</t>
  </si>
  <si>
    <t>15火</t>
  </si>
  <si>
    <t>15木</t>
  </si>
  <si>
    <t>15日</t>
  </si>
  <si>
    <t>15金</t>
  </si>
  <si>
    <t>15月</t>
  </si>
  <si>
    <t>15水</t>
  </si>
  <si>
    <t>15土</t>
  </si>
  <si>
    <t>16水</t>
  </si>
  <si>
    <t>16金</t>
  </si>
  <si>
    <t>16月</t>
  </si>
  <si>
    <t>16土</t>
  </si>
  <si>
    <t>16火</t>
  </si>
  <si>
    <t>16木</t>
  </si>
  <si>
    <t>16日</t>
  </si>
  <si>
    <t>17木</t>
  </si>
  <si>
    <t>17土</t>
  </si>
  <si>
    <t>17火</t>
  </si>
  <si>
    <t>17日</t>
  </si>
  <si>
    <t>17水</t>
  </si>
  <si>
    <t>17金</t>
  </si>
  <si>
    <t>17月</t>
  </si>
  <si>
    <t>18金</t>
  </si>
  <si>
    <t>18日</t>
  </si>
  <si>
    <t>18水</t>
  </si>
  <si>
    <t>18月</t>
  </si>
  <si>
    <t>18木</t>
  </si>
  <si>
    <t>18土</t>
  </si>
  <si>
    <t>18火</t>
  </si>
  <si>
    <t>19土</t>
  </si>
  <si>
    <t>19月</t>
  </si>
  <si>
    <t>19木</t>
  </si>
  <si>
    <t>19火</t>
  </si>
  <si>
    <t>19金</t>
  </si>
  <si>
    <t>19日</t>
  </si>
  <si>
    <t>19水</t>
  </si>
  <si>
    <t>20日</t>
  </si>
  <si>
    <t>20火</t>
  </si>
  <si>
    <t>20金</t>
  </si>
  <si>
    <t>20水</t>
  </si>
  <si>
    <t>20土</t>
  </si>
  <si>
    <t>20月</t>
  </si>
  <si>
    <t>20木</t>
  </si>
  <si>
    <t>21月</t>
  </si>
  <si>
    <t>21水</t>
  </si>
  <si>
    <t>21土</t>
  </si>
  <si>
    <t>21木</t>
  </si>
  <si>
    <t>21日</t>
  </si>
  <si>
    <t>21火</t>
  </si>
  <si>
    <t>21金</t>
  </si>
  <si>
    <t>22火</t>
  </si>
  <si>
    <t>22木</t>
  </si>
  <si>
    <t>22日</t>
  </si>
  <si>
    <t>22金</t>
  </si>
  <si>
    <t>22月</t>
  </si>
  <si>
    <t>22水</t>
  </si>
  <si>
    <t>22土</t>
  </si>
  <si>
    <t>23水</t>
  </si>
  <si>
    <t>23金</t>
  </si>
  <si>
    <t>23月</t>
  </si>
  <si>
    <t>23土</t>
  </si>
  <si>
    <t>23火</t>
  </si>
  <si>
    <t>23木</t>
  </si>
  <si>
    <t>23日</t>
  </si>
  <si>
    <t>24木</t>
  </si>
  <si>
    <t>24土</t>
  </si>
  <si>
    <t>24火</t>
  </si>
  <si>
    <t>24日</t>
  </si>
  <si>
    <t>24水</t>
  </si>
  <si>
    <t>24金</t>
  </si>
  <si>
    <t>24月</t>
  </si>
  <si>
    <t>25金</t>
  </si>
  <si>
    <t>25日</t>
  </si>
  <si>
    <t>25水</t>
  </si>
  <si>
    <t>25月</t>
  </si>
  <si>
    <t>25木</t>
  </si>
  <si>
    <t>25土</t>
  </si>
  <si>
    <t>25火</t>
  </si>
  <si>
    <t>26土</t>
  </si>
  <si>
    <t>26月</t>
  </si>
  <si>
    <t>26木</t>
  </si>
  <si>
    <t>26火</t>
  </si>
  <si>
    <t>26金</t>
  </si>
  <si>
    <t>26日</t>
  </si>
  <si>
    <t>26水</t>
  </si>
  <si>
    <t>27日</t>
  </si>
  <si>
    <t>27火</t>
  </si>
  <si>
    <t>27金</t>
  </si>
  <si>
    <t>27水</t>
  </si>
  <si>
    <t>27土</t>
  </si>
  <si>
    <t>27月</t>
  </si>
  <si>
    <t>27木</t>
  </si>
  <si>
    <t>28月</t>
  </si>
  <si>
    <t>28水</t>
  </si>
  <si>
    <t>28土</t>
  </si>
  <si>
    <t>28木</t>
  </si>
  <si>
    <t>28日</t>
  </si>
  <si>
    <t>28火</t>
  </si>
  <si>
    <t>28金</t>
  </si>
  <si>
    <t>29火</t>
  </si>
  <si>
    <t>29木</t>
  </si>
  <si>
    <t>29日</t>
  </si>
  <si>
    <t>29金</t>
  </si>
  <si>
    <t>29月</t>
  </si>
  <si>
    <t>29水</t>
  </si>
  <si>
    <t>29土</t>
  </si>
  <si>
    <t>30水</t>
  </si>
  <si>
    <t>30金</t>
  </si>
  <si>
    <t>30月</t>
  </si>
  <si>
    <t>30土</t>
  </si>
  <si>
    <t>30火</t>
  </si>
  <si>
    <t>30木</t>
  </si>
  <si>
    <t>30日</t>
  </si>
  <si>
    <t/>
  </si>
  <si>
    <t>31土</t>
  </si>
  <si>
    <t>31木</t>
  </si>
  <si>
    <t>31日</t>
  </si>
  <si>
    <t>31金</t>
  </si>
  <si>
    <t>31水</t>
  </si>
  <si>
    <t>31火</t>
  </si>
  <si>
    <t>○：部活可能　△：部活未定　×：部活なし</t>
    <rPh sb="2" eb="4">
      <t>ブカツ</t>
    </rPh>
    <rPh sb="4" eb="6">
      <t>カノウ</t>
    </rPh>
    <rPh sb="9" eb="11">
      <t>ブカツ</t>
    </rPh>
    <rPh sb="11" eb="13">
      <t>ミテイ</t>
    </rPh>
    <rPh sb="16" eb="18">
      <t>ブカツ</t>
    </rPh>
    <phoneticPr fontId="36"/>
  </si>
  <si>
    <t>自由2</t>
  </si>
  <si>
    <t>自由3</t>
  </si>
  <si>
    <t>自由1</t>
  </si>
  <si>
    <t>年間カレンダー</t>
    <rPh sb="0" eb="2">
      <t>ネンカン</t>
    </rPh>
    <phoneticPr fontId="1"/>
  </si>
  <si>
    <t>中学校年間行事計画　</t>
    <phoneticPr fontId="36"/>
  </si>
  <si>
    <t>２年１組</t>
    <rPh sb="1" eb="2">
      <t>ネン</t>
    </rPh>
    <rPh sb="3" eb="4">
      <t>クミ</t>
    </rPh>
    <phoneticPr fontId="1"/>
  </si>
  <si>
    <t>２年２組</t>
    <rPh sb="1" eb="2">
      <t>ネン</t>
    </rPh>
    <rPh sb="3" eb="4">
      <t>クミ</t>
    </rPh>
    <phoneticPr fontId="1"/>
  </si>
  <si>
    <t>３年１組</t>
    <rPh sb="1" eb="2">
      <t>ネン</t>
    </rPh>
    <rPh sb="3" eb="4">
      <t>クミ</t>
    </rPh>
    <phoneticPr fontId="1"/>
  </si>
  <si>
    <t>３年２組</t>
    <rPh sb="1" eb="2">
      <t>ネン</t>
    </rPh>
    <rPh sb="3" eb="4">
      <t>クミ</t>
    </rPh>
    <phoneticPr fontId="1"/>
  </si>
  <si>
    <t>特別支援</t>
  </si>
  <si>
    <t>特別支援</t>
    <rPh sb="0" eb="4">
      <t>トクベツシエン</t>
    </rPh>
    <phoneticPr fontId="1"/>
  </si>
  <si>
    <t>外国人</t>
    <rPh sb="0" eb="3">
      <t>ガイコクジン</t>
    </rPh>
    <phoneticPr fontId="1"/>
  </si>
  <si>
    <t>２年３組</t>
    <rPh sb="1" eb="2">
      <t>ネン</t>
    </rPh>
    <rPh sb="3" eb="4">
      <t>クミ</t>
    </rPh>
    <phoneticPr fontId="1"/>
  </si>
  <si>
    <t>３年３組</t>
    <rPh sb="1" eb="2">
      <t>ネン</t>
    </rPh>
    <rPh sb="3" eb="4">
      <t>クミ</t>
    </rPh>
    <phoneticPr fontId="1"/>
  </si>
  <si>
    <t>２年４組</t>
    <rPh sb="1" eb="2">
      <t>ネン</t>
    </rPh>
    <rPh sb="3" eb="4">
      <t>クミ</t>
    </rPh>
    <phoneticPr fontId="1"/>
  </si>
  <si>
    <t>３年４組</t>
    <rPh sb="1" eb="2">
      <t>ネン</t>
    </rPh>
    <rPh sb="3" eb="4">
      <t>クミ</t>
    </rPh>
    <phoneticPr fontId="1"/>
  </si>
  <si>
    <t>２年５組</t>
    <rPh sb="1" eb="2">
      <t>ネン</t>
    </rPh>
    <rPh sb="3" eb="4">
      <t>クミ</t>
    </rPh>
    <phoneticPr fontId="1"/>
  </si>
  <si>
    <t>３年５組</t>
    <rPh sb="1" eb="2">
      <t>ネン</t>
    </rPh>
    <rPh sb="3" eb="4">
      <t>クミ</t>
    </rPh>
    <phoneticPr fontId="1"/>
  </si>
  <si>
    <t>２年６組</t>
    <rPh sb="1" eb="2">
      <t>ネン</t>
    </rPh>
    <rPh sb="3" eb="4">
      <t>クミ</t>
    </rPh>
    <phoneticPr fontId="1"/>
  </si>
  <si>
    <t>３年６組</t>
    <rPh sb="1" eb="2">
      <t>ネン</t>
    </rPh>
    <rPh sb="3" eb="4">
      <t>クミ</t>
    </rPh>
    <phoneticPr fontId="1"/>
  </si>
  <si>
    <t>２年７組</t>
    <rPh sb="1" eb="2">
      <t>ネン</t>
    </rPh>
    <rPh sb="3" eb="4">
      <t>クミ</t>
    </rPh>
    <phoneticPr fontId="1"/>
  </si>
  <si>
    <t>３年７組</t>
    <rPh sb="1" eb="2">
      <t>ネン</t>
    </rPh>
    <rPh sb="3" eb="4">
      <t>クミ</t>
    </rPh>
    <phoneticPr fontId="1"/>
  </si>
  <si>
    <t>２年６組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</si>
</sst>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m/d;@"/>
    <numFmt numFmtId="177" formatCode="m/d\(aaa\)"/>
    <numFmt numFmtId="178" formatCode="0&quot;年&quot;"/>
    <numFmt numFmtId="179" formatCode="\(&quot;令&quot;&quot;和&quot;0&quot;年&quot;\)"/>
    <numFmt numFmtId="180" formatCode="0_);[Red]\(0\)"/>
    <numFmt numFmtId="181" formatCode="0&quot;月&quot;"/>
    <numFmt numFmtId="182" formatCode="d"/>
    <numFmt numFmtId="183" formatCode="[$-F800]dddd\,\ mmmm\ dd\,\ yyyy"/>
    <numFmt numFmtId="184" formatCode="yyyy/m/d;@"/>
    <numFmt numFmtId="185" formatCode="yyyy/mm/dd"/>
  </numFmts>
  <fonts count="4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</font>
    <font>
      <b/>
      <sz val="20"/>
      <color theme="1"/>
      <name val="游ゴシック"/>
      <family val="3"/>
      <charset val="128"/>
    </font>
    <font>
      <sz val="9"/>
      <color theme="1"/>
      <name val="游ゴシック"/>
      <family val="2"/>
      <charset val="128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</font>
    <font>
      <b/>
      <sz val="9"/>
      <color rgb="FFFF0000"/>
      <name val="游ゴシック"/>
      <family val="3"/>
      <charset val="128"/>
    </font>
    <font>
      <b/>
      <sz val="9"/>
      <color theme="1"/>
      <name val="游ゴシック"/>
      <family val="3"/>
      <charset val="128"/>
    </font>
    <font>
      <b/>
      <sz val="9"/>
      <color theme="4"/>
      <name val="游ゴシック"/>
      <family val="3"/>
      <charset val="128"/>
    </font>
    <font>
      <b/>
      <sz val="8"/>
      <color rgb="FFFF0000"/>
      <name val="游ゴシック"/>
      <family val="3"/>
      <charset val="128"/>
    </font>
    <font>
      <b/>
      <sz val="8"/>
      <name val="游ゴシック"/>
      <family val="3"/>
      <charset val="128"/>
    </font>
    <font>
      <b/>
      <sz val="8"/>
      <color theme="4"/>
      <name val="游ゴシック"/>
      <family val="3"/>
      <charset val="128"/>
    </font>
    <font>
      <sz val="9"/>
      <name val="游ゴシック"/>
      <family val="3"/>
      <charset val="128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b/>
      <sz val="9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8"/>
      <color theme="0"/>
      <name val="游ゴシック"/>
      <family val="2"/>
      <charset val="128"/>
    </font>
    <font>
      <sz val="8"/>
      <color theme="0"/>
      <name val="游ゴシック"/>
      <family val="3"/>
      <charset val="128"/>
    </font>
    <font>
      <b/>
      <sz val="8"/>
      <color theme="0"/>
      <name val="游ゴシック"/>
      <family val="3"/>
      <charset val="128"/>
    </font>
    <font>
      <sz val="11"/>
      <name val="ＭＳ Ｐゴシック"/>
      <family val="3"/>
      <charset val="128"/>
    </font>
    <font>
      <sz val="16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name val="ＭＳ Ｐ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0"/>
      <color theme="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b/>
      <sz val="16"/>
      <color rgb="FF000000"/>
      <name val="游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theme="1"/>
      <name val="游ゴシック"/>
      <family val="2"/>
      <charset val="128"/>
    </font>
    <font>
      <sz val="9"/>
      <color theme="7" tint="0.39997558519241921"/>
      <name val="游ゴシック"/>
      <family val="2"/>
      <charset val="128"/>
    </font>
    <font>
      <b/>
      <sz val="11"/>
      <color theme="1"/>
      <name val="游ゴシック"/>
      <family val="2"/>
      <charset val="128"/>
    </font>
    <font>
      <sz val="11"/>
      <color theme="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7" tint="0.39997558519241921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2" tint="-9.9978637043366805E-2"/>
      </right>
      <top style="thin">
        <color theme="1" tint="0.49998474074526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1" tint="0.49998474074526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1" tint="0.499984740745262"/>
      </right>
      <top style="thin">
        <color theme="1" tint="0.499984740745262"/>
      </top>
      <bottom style="thin">
        <color theme="2" tint="-9.9978637043366805E-2"/>
      </bottom>
      <diagonal/>
    </border>
    <border>
      <left style="thin">
        <color theme="1" tint="0.49998474074526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1" tint="0.49998474074526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1" tint="0.499984740745262"/>
      </left>
      <right style="thin">
        <color theme="2" tint="-9.9978637043366805E-2"/>
      </right>
      <top style="thin">
        <color theme="2" tint="-9.9978637043366805E-2"/>
      </top>
      <bottom style="thin">
        <color theme="1" tint="0.49998474074526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1" tint="0.499984740745262"/>
      </bottom>
      <diagonal/>
    </border>
    <border>
      <left style="thin">
        <color theme="2" tint="-9.9978637043366805E-2"/>
      </left>
      <right style="thin">
        <color theme="1" tint="0.499984740745262"/>
      </right>
      <top style="thin">
        <color theme="2" tint="-9.9978637043366805E-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</cellStyleXfs>
  <cellXfs count="2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 textRotation="255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80" fontId="6" fillId="0" borderId="14" xfId="0" applyNumberFormat="1" applyFont="1" applyBorder="1" applyAlignment="1">
      <alignment horizontal="right" vertical="center"/>
    </xf>
    <xf numFmtId="181" fontId="6" fillId="0" borderId="14" xfId="0" applyNumberFormat="1" applyFont="1" applyBorder="1" applyAlignment="1">
      <alignment horizontal="left"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8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182" fontId="11" fillId="0" borderId="18" xfId="0" applyNumberFormat="1" applyFont="1" applyBorder="1" applyAlignment="1">
      <alignment horizontal="left" vertical="top"/>
    </xf>
    <xf numFmtId="182" fontId="12" fillId="0" borderId="19" xfId="0" applyNumberFormat="1" applyFont="1" applyBorder="1" applyAlignment="1">
      <alignment horizontal="left" vertical="top"/>
    </xf>
    <xf numFmtId="182" fontId="13" fillId="0" borderId="20" xfId="0" applyNumberFormat="1" applyFont="1" applyBorder="1" applyAlignment="1">
      <alignment horizontal="left" vertical="top"/>
    </xf>
    <xf numFmtId="182" fontId="11" fillId="0" borderId="21" xfId="0" applyNumberFormat="1" applyFont="1" applyBorder="1" applyAlignment="1">
      <alignment horizontal="left" vertical="top"/>
    </xf>
    <xf numFmtId="182" fontId="12" fillId="0" borderId="22" xfId="0" applyNumberFormat="1" applyFont="1" applyBorder="1" applyAlignment="1">
      <alignment horizontal="left" vertical="top"/>
    </xf>
    <xf numFmtId="182" fontId="13" fillId="0" borderId="23" xfId="0" applyNumberFormat="1" applyFont="1" applyBorder="1" applyAlignment="1">
      <alignment horizontal="left" vertical="top"/>
    </xf>
    <xf numFmtId="0" fontId="14" fillId="0" borderId="0" xfId="0" applyFont="1" applyAlignment="1">
      <alignment horizontal="center" vertical="center"/>
    </xf>
    <xf numFmtId="181" fontId="15" fillId="0" borderId="14" xfId="0" applyNumberFormat="1" applyFont="1" applyBorder="1" applyAlignment="1">
      <alignment horizontal="left" vertical="center"/>
    </xf>
    <xf numFmtId="0" fontId="16" fillId="0" borderId="0" xfId="0" applyFont="1">
      <alignment vertical="center"/>
    </xf>
    <xf numFmtId="0" fontId="15" fillId="0" borderId="0" xfId="0" applyFont="1">
      <alignment vertical="center"/>
    </xf>
    <xf numFmtId="0" fontId="17" fillId="0" borderId="1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3" fontId="5" fillId="0" borderId="0" xfId="0" applyNumberFormat="1" applyFont="1" applyAlignment="1">
      <alignment horizontal="center" vertical="center"/>
    </xf>
    <xf numFmtId="183" fontId="18" fillId="0" borderId="0" xfId="0" applyNumberFormat="1" applyFont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0" xfId="0" applyNumberFormat="1" applyAlignment="1">
      <alignment horizontal="left" vertical="center"/>
    </xf>
    <xf numFmtId="184" fontId="0" fillId="0" borderId="0" xfId="0" applyNumberFormat="1">
      <alignment vertical="center"/>
    </xf>
    <xf numFmtId="182" fontId="5" fillId="0" borderId="0" xfId="0" applyNumberFormat="1" applyFont="1" applyAlignment="1">
      <alignment horizontal="center" vertical="center"/>
    </xf>
    <xf numFmtId="56" fontId="5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top"/>
    </xf>
    <xf numFmtId="0" fontId="21" fillId="0" borderId="0" xfId="0" applyFont="1">
      <alignment vertical="center"/>
    </xf>
    <xf numFmtId="185" fontId="25" fillId="2" borderId="24" xfId="0" applyNumberFormat="1" applyFont="1" applyFill="1" applyBorder="1" applyAlignment="1">
      <alignment horizontal="center" vertical="center"/>
    </xf>
    <xf numFmtId="0" fontId="25" fillId="2" borderId="24" xfId="0" applyFont="1" applyFill="1" applyBorder="1" applyAlignment="1">
      <alignment horizontal="center" vertical="center"/>
    </xf>
    <xf numFmtId="49" fontId="25" fillId="2" borderId="24" xfId="0" applyNumberFormat="1" applyFont="1" applyFill="1" applyBorder="1" applyAlignment="1">
      <alignment horizontal="center" vertical="center"/>
    </xf>
    <xf numFmtId="0" fontId="26" fillId="0" borderId="0" xfId="1" applyFont="1">
      <alignment vertical="center"/>
    </xf>
    <xf numFmtId="185" fontId="26" fillId="0" borderId="26" xfId="0" applyNumberFormat="1" applyFont="1" applyBorder="1" applyAlignment="1" applyProtection="1">
      <alignment horizontal="center" vertical="center"/>
      <protection locked="0"/>
    </xf>
    <xf numFmtId="0" fontId="26" fillId="0" borderId="26" xfId="0" applyFont="1" applyBorder="1" applyAlignment="1">
      <alignment horizontal="center" vertical="center"/>
    </xf>
    <xf numFmtId="49" fontId="26" fillId="0" borderId="26" xfId="0" applyNumberFormat="1" applyFont="1" applyBorder="1" applyProtection="1">
      <alignment vertical="center"/>
      <protection locked="0"/>
    </xf>
    <xf numFmtId="49" fontId="26" fillId="0" borderId="26" xfId="0" applyNumberFormat="1" applyFont="1" applyBorder="1" applyAlignment="1" applyProtection="1">
      <alignment horizontal="center" vertical="center"/>
      <protection locked="0"/>
    </xf>
    <xf numFmtId="185" fontId="26" fillId="0" borderId="27" xfId="0" applyNumberFormat="1" applyFont="1" applyBorder="1" applyAlignment="1" applyProtection="1">
      <alignment horizontal="center" vertical="center"/>
      <protection locked="0"/>
    </xf>
    <xf numFmtId="49" fontId="26" fillId="0" borderId="27" xfId="0" applyNumberFormat="1" applyFont="1" applyBorder="1" applyProtection="1">
      <alignment vertical="center"/>
      <protection locked="0"/>
    </xf>
    <xf numFmtId="185" fontId="26" fillId="3" borderId="26" xfId="0" applyNumberFormat="1" applyFont="1" applyFill="1" applyBorder="1" applyAlignment="1" applyProtection="1">
      <alignment horizontal="center" vertical="center"/>
      <protection locked="0"/>
    </xf>
    <xf numFmtId="0" fontId="26" fillId="3" borderId="26" xfId="0" applyFont="1" applyFill="1" applyBorder="1" applyAlignment="1">
      <alignment horizontal="center" vertical="center"/>
    </xf>
    <xf numFmtId="49" fontId="26" fillId="3" borderId="27" xfId="0" applyNumberFormat="1" applyFont="1" applyFill="1" applyBorder="1" applyProtection="1">
      <alignment vertical="center"/>
      <protection locked="0"/>
    </xf>
    <xf numFmtId="49" fontId="26" fillId="0" borderId="27" xfId="0" applyNumberFormat="1" applyFont="1" applyBorder="1" applyAlignment="1" applyProtection="1">
      <alignment horizontal="center" vertical="center"/>
      <protection locked="0"/>
    </xf>
    <xf numFmtId="49" fontId="26" fillId="3" borderId="27" xfId="0" applyNumberFormat="1" applyFont="1" applyFill="1" applyBorder="1" applyAlignment="1" applyProtection="1">
      <alignment horizontal="center" vertical="center"/>
      <protection locked="0"/>
    </xf>
    <xf numFmtId="185" fontId="26" fillId="0" borderId="0" xfId="1" applyNumberFormat="1" applyFont="1" applyAlignment="1">
      <alignment horizontal="center" vertical="center"/>
    </xf>
    <xf numFmtId="0" fontId="26" fillId="0" borderId="0" xfId="1" applyFont="1" applyAlignment="1">
      <alignment horizontal="center" vertical="center"/>
    </xf>
    <xf numFmtId="49" fontId="26" fillId="0" borderId="0" xfId="1" applyNumberFormat="1" applyFont="1">
      <alignment vertical="center"/>
    </xf>
    <xf numFmtId="49" fontId="26" fillId="0" borderId="0" xfId="1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24" xfId="0" applyBorder="1">
      <alignment vertical="center"/>
    </xf>
    <xf numFmtId="0" fontId="0" fillId="0" borderId="47" xfId="0" applyBorder="1">
      <alignment vertical="center"/>
    </xf>
    <xf numFmtId="0" fontId="0" fillId="0" borderId="48" xfId="0" applyBorder="1">
      <alignment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0" fontId="0" fillId="0" borderId="52" xfId="0" applyBorder="1">
      <alignment vertical="center"/>
    </xf>
    <xf numFmtId="0" fontId="0" fillId="0" borderId="53" xfId="0" applyBorder="1">
      <alignment vertical="center"/>
    </xf>
    <xf numFmtId="0" fontId="0" fillId="0" borderId="54" xfId="0" applyBorder="1">
      <alignment vertical="center"/>
    </xf>
    <xf numFmtId="0" fontId="0" fillId="0" borderId="55" xfId="0" applyBorder="1">
      <alignment vertical="center"/>
    </xf>
    <xf numFmtId="56" fontId="0" fillId="0" borderId="0" xfId="0" applyNumberFormat="1">
      <alignment vertical="center"/>
    </xf>
    <xf numFmtId="0" fontId="0" fillId="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0" fillId="0" borderId="38" xfId="0" applyBorder="1" applyAlignment="1">
      <alignment horizontal="left" shrinkToFit="1"/>
    </xf>
    <xf numFmtId="0" fontId="0" fillId="0" borderId="33" xfId="0" applyBorder="1" applyAlignment="1">
      <alignment horizontal="left" vertical="center" shrinkToFit="1"/>
    </xf>
    <xf numFmtId="0" fontId="0" fillId="0" borderId="31" xfId="0" applyBorder="1" applyAlignment="1">
      <alignment horizontal="left" vertical="center" shrinkToFit="1"/>
    </xf>
    <xf numFmtId="0" fontId="0" fillId="0" borderId="41" xfId="0" applyBorder="1" applyAlignment="1">
      <alignment horizontal="left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2" xfId="0" applyBorder="1" applyAlignment="1">
      <alignment horizontal="center" vertical="center" shrinkToFit="1"/>
    </xf>
    <xf numFmtId="0" fontId="0" fillId="0" borderId="42" xfId="0" applyBorder="1" applyAlignment="1">
      <alignment horizontal="center" vertical="center" shrinkToFit="1"/>
    </xf>
    <xf numFmtId="0" fontId="0" fillId="0" borderId="38" xfId="0" applyBorder="1" applyAlignment="1">
      <alignment horizontal="left" vertical="center" shrinkToFit="1"/>
    </xf>
    <xf numFmtId="0" fontId="0" fillId="0" borderId="39" xfId="0" applyBorder="1" applyAlignment="1">
      <alignment horizontal="center" vertical="center" shrinkToFit="1"/>
    </xf>
    <xf numFmtId="0" fontId="0" fillId="0" borderId="39" xfId="0" applyBorder="1" applyAlignment="1">
      <alignment horizontal="left" vertical="center" shrinkToFit="1"/>
    </xf>
    <xf numFmtId="0" fontId="0" fillId="0" borderId="32" xfId="0" applyBorder="1" applyAlignment="1">
      <alignment horizontal="left" vertical="center" shrinkToFit="1"/>
    </xf>
    <xf numFmtId="0" fontId="0" fillId="0" borderId="42" xfId="0" applyBorder="1" applyAlignment="1">
      <alignment horizontal="left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2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1" fillId="4" borderId="0" xfId="0" applyFont="1" applyFill="1" applyAlignment="1">
      <alignment horizontal="center" vertical="center"/>
    </xf>
    <xf numFmtId="177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22" fillId="0" borderId="0" xfId="2">
      <alignment vertical="center"/>
    </xf>
    <xf numFmtId="0" fontId="22" fillId="0" borderId="0" xfId="2" applyAlignment="1">
      <alignment horizontal="center" vertical="center"/>
    </xf>
    <xf numFmtId="0" fontId="23" fillId="0" borderId="0" xfId="2" applyFont="1">
      <alignment vertical="center"/>
    </xf>
    <xf numFmtId="0" fontId="23" fillId="0" borderId="59" xfId="2" applyFont="1" applyBorder="1">
      <alignment vertical="center"/>
    </xf>
    <xf numFmtId="0" fontId="37" fillId="0" borderId="59" xfId="2" applyFont="1" applyBorder="1">
      <alignment vertical="center"/>
    </xf>
    <xf numFmtId="14" fontId="23" fillId="0" borderId="0" xfId="2" applyNumberFormat="1" applyFont="1">
      <alignment vertical="center"/>
    </xf>
    <xf numFmtId="14" fontId="22" fillId="0" borderId="0" xfId="2" applyNumberFormat="1">
      <alignment vertical="center"/>
    </xf>
    <xf numFmtId="0" fontId="24" fillId="0" borderId="0" xfId="2" applyFont="1">
      <alignment vertical="center"/>
    </xf>
    <xf numFmtId="14" fontId="24" fillId="0" borderId="0" xfId="2" applyNumberFormat="1" applyFont="1">
      <alignment vertical="center"/>
    </xf>
    <xf numFmtId="14" fontId="24" fillId="0" borderId="11" xfId="2" applyNumberFormat="1" applyFont="1" applyBorder="1" applyAlignment="1">
      <alignment horizontal="center" vertical="center" wrapText="1"/>
    </xf>
    <xf numFmtId="14" fontId="36" fillId="0" borderId="24" xfId="2" applyNumberFormat="1" applyFont="1" applyBorder="1" applyAlignment="1">
      <alignment vertical="top" wrapText="1"/>
    </xf>
    <xf numFmtId="14" fontId="26" fillId="0" borderId="24" xfId="2" applyNumberFormat="1" applyFont="1" applyBorder="1" applyAlignment="1">
      <alignment horizontal="center" vertical="center" wrapText="1"/>
    </xf>
    <xf numFmtId="14" fontId="26" fillId="0" borderId="24" xfId="2" applyNumberFormat="1" applyFont="1" applyBorder="1" applyAlignment="1">
      <alignment vertical="top" wrapText="1"/>
    </xf>
    <xf numFmtId="14" fontId="26" fillId="0" borderId="43" xfId="2" applyNumberFormat="1" applyFont="1" applyBorder="1" applyAlignment="1">
      <alignment vertical="top" wrapText="1"/>
    </xf>
    <xf numFmtId="14" fontId="24" fillId="0" borderId="12" xfId="2" applyNumberFormat="1" applyFont="1" applyBorder="1" applyAlignment="1">
      <alignment horizontal="center" vertical="center" wrapText="1"/>
    </xf>
    <xf numFmtId="14" fontId="26" fillId="0" borderId="45" xfId="2" applyNumberFormat="1" applyFont="1" applyBorder="1" applyAlignment="1">
      <alignment vertical="top" wrapText="1"/>
    </xf>
    <xf numFmtId="14" fontId="26" fillId="0" borderId="45" xfId="2" applyNumberFormat="1" applyFont="1" applyBorder="1" applyAlignment="1">
      <alignment horizontal="center" vertical="center" wrapText="1"/>
    </xf>
    <xf numFmtId="14" fontId="26" fillId="0" borderId="46" xfId="2" applyNumberFormat="1" applyFont="1" applyBorder="1" applyAlignment="1">
      <alignment vertical="top" wrapText="1"/>
    </xf>
    <xf numFmtId="0" fontId="37" fillId="0" borderId="0" xfId="2" applyFont="1">
      <alignment vertical="center"/>
    </xf>
    <xf numFmtId="14" fontId="26" fillId="0" borderId="24" xfId="2" applyNumberFormat="1" applyFont="1" applyBorder="1" applyAlignment="1">
      <alignment horizontal="right" wrapText="1"/>
    </xf>
    <xf numFmtId="14" fontId="26" fillId="0" borderId="45" xfId="2" applyNumberFormat="1" applyFont="1" applyBorder="1" applyAlignment="1">
      <alignment horizontal="right" wrapText="1"/>
    </xf>
    <xf numFmtId="14" fontId="22" fillId="0" borderId="0" xfId="2" applyNumberFormat="1" applyAlignment="1">
      <alignment horizontal="right"/>
    </xf>
    <xf numFmtId="0" fontId="22" fillId="0" borderId="0" xfId="2" applyAlignment="1">
      <alignment horizontal="right"/>
    </xf>
    <xf numFmtId="0" fontId="37" fillId="0" borderId="59" xfId="2" applyFont="1" applyBorder="1" applyAlignment="1">
      <alignment horizontal="right"/>
    </xf>
    <xf numFmtId="0" fontId="37" fillId="0" borderId="0" xfId="2" applyFont="1" applyAlignment="1">
      <alignment horizontal="right"/>
    </xf>
    <xf numFmtId="14" fontId="26" fillId="0" borderId="43" xfId="2" applyNumberFormat="1" applyFont="1" applyBorder="1" applyAlignment="1">
      <alignment horizontal="right" wrapText="1"/>
    </xf>
    <xf numFmtId="14" fontId="26" fillId="0" borderId="46" xfId="2" applyNumberFormat="1" applyFont="1" applyBorder="1" applyAlignment="1">
      <alignment horizontal="right" wrapText="1"/>
    </xf>
    <xf numFmtId="0" fontId="23" fillId="0" borderId="0" xfId="2" applyFont="1" applyAlignment="1">
      <alignment horizontal="right"/>
    </xf>
    <xf numFmtId="0" fontId="23" fillId="0" borderId="59" xfId="2" applyFont="1" applyBorder="1" applyAlignment="1">
      <alignment horizontal="right"/>
    </xf>
    <xf numFmtId="14" fontId="23" fillId="0" borderId="0" xfId="2" applyNumberFormat="1" applyFont="1" applyAlignment="1">
      <alignment horizontal="right"/>
    </xf>
    <xf numFmtId="14" fontId="19" fillId="0" borderId="0" xfId="0" applyNumberFormat="1" applyFont="1" applyAlignment="1">
      <alignment horizontal="center" vertical="center"/>
    </xf>
    <xf numFmtId="0" fontId="39" fillId="9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39" fillId="9" borderId="0" xfId="0" applyFont="1" applyFill="1" applyAlignment="1">
      <alignment horizontal="left" vertical="top"/>
    </xf>
    <xf numFmtId="0" fontId="18" fillId="0" borderId="0" xfId="0" applyFont="1" applyAlignment="1">
      <alignment horizontal="left" vertical="top"/>
    </xf>
    <xf numFmtId="0" fontId="5" fillId="0" borderId="0" xfId="0" applyFont="1" applyAlignment="1">
      <alignment horizontal="right"/>
    </xf>
    <xf numFmtId="0" fontId="39" fillId="9" borderId="0" xfId="0" applyFont="1" applyFill="1" applyAlignment="1">
      <alignment horizontal="right"/>
    </xf>
    <xf numFmtId="0" fontId="18" fillId="0" borderId="0" xfId="0" applyFont="1" applyAlignment="1">
      <alignment horizontal="right"/>
    </xf>
    <xf numFmtId="0" fontId="38" fillId="0" borderId="0" xfId="0" applyFont="1" applyAlignment="1">
      <alignment horizontal="center" vertical="center"/>
    </xf>
    <xf numFmtId="182" fontId="40" fillId="9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5" fillId="0" borderId="0" xfId="0" applyFont="1" applyAlignment="1">
      <alignment horizontal="right"/>
    </xf>
    <xf numFmtId="0" fontId="12" fillId="0" borderId="0" xfId="0" applyFont="1">
      <alignment vertical="center"/>
    </xf>
    <xf numFmtId="14" fontId="41" fillId="0" borderId="0" xfId="2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 textRotation="255"/>
    </xf>
    <xf numFmtId="0" fontId="2" fillId="4" borderId="0" xfId="0" applyFont="1" applyFill="1" applyAlignment="1">
      <alignment horizontal="centerContinuous" vertical="center"/>
    </xf>
    <xf numFmtId="0" fontId="24" fillId="0" borderId="0" xfId="2" applyFont="1" applyAlignment="1">
      <alignment horizontal="center" vertical="center"/>
    </xf>
    <xf numFmtId="0" fontId="24" fillId="0" borderId="0" xfId="2" applyFont="1" applyAlignment="1">
      <alignment horizontal="left" vertical="top"/>
    </xf>
    <xf numFmtId="0" fontId="24" fillId="0" borderId="59" xfId="2" applyFont="1" applyBorder="1" applyAlignment="1">
      <alignment horizontal="left" vertical="top"/>
    </xf>
    <xf numFmtId="0" fontId="24" fillId="0" borderId="11" xfId="2" applyFont="1" applyBorder="1" applyAlignment="1">
      <alignment horizontal="left" vertical="top"/>
    </xf>
    <xf numFmtId="14" fontId="24" fillId="0" borderId="11" xfId="2" applyNumberFormat="1" applyFont="1" applyBorder="1" applyAlignment="1">
      <alignment horizontal="left" vertical="top"/>
    </xf>
    <xf numFmtId="14" fontId="24" fillId="0" borderId="12" xfId="2" applyNumberFormat="1" applyFont="1" applyBorder="1" applyAlignment="1">
      <alignment horizontal="left" vertical="top"/>
    </xf>
    <xf numFmtId="14" fontId="24" fillId="0" borderId="24" xfId="2" applyNumberFormat="1" applyFont="1" applyBorder="1" applyAlignment="1">
      <alignment horizontal="left" vertical="top"/>
    </xf>
    <xf numFmtId="14" fontId="24" fillId="0" borderId="45" xfId="2" applyNumberFormat="1" applyFont="1" applyBorder="1" applyAlignment="1">
      <alignment horizontal="left" vertical="top"/>
    </xf>
    <xf numFmtId="0" fontId="29" fillId="0" borderId="0" xfId="0" applyFont="1" applyAlignment="1">
      <alignment horizontal="right" vertical="top"/>
    </xf>
    <xf numFmtId="0" fontId="29" fillId="0" borderId="0" xfId="0" applyFont="1" applyAlignment="1">
      <alignment horizontal="left"/>
    </xf>
    <xf numFmtId="0" fontId="30" fillId="0" borderId="0" xfId="0" applyFont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2" fillId="0" borderId="60" xfId="2" applyBorder="1" applyAlignment="1">
      <alignment horizontal="center" vertical="center"/>
    </xf>
    <xf numFmtId="0" fontId="22" fillId="0" borderId="37" xfId="2" applyBorder="1" applyAlignment="1">
      <alignment horizontal="center" vertical="center"/>
    </xf>
    <xf numFmtId="0" fontId="22" fillId="0" borderId="6" xfId="2" applyBorder="1" applyAlignment="1">
      <alignment horizontal="center" vertical="center"/>
    </xf>
    <xf numFmtId="0" fontId="22" fillId="0" borderId="58" xfId="2" applyBorder="1" applyAlignment="1">
      <alignment horizontal="center" vertical="center"/>
    </xf>
    <xf numFmtId="0" fontId="22" fillId="0" borderId="2" xfId="2" applyBorder="1" applyAlignment="1">
      <alignment horizontal="center" vertical="center"/>
    </xf>
    <xf numFmtId="0" fontId="22" fillId="0" borderId="3" xfId="2" applyBorder="1" applyAlignment="1">
      <alignment horizontal="center" vertical="center"/>
    </xf>
    <xf numFmtId="0" fontId="22" fillId="0" borderId="61" xfId="2" applyBorder="1" applyAlignment="1">
      <alignment horizontal="center" vertical="center"/>
    </xf>
    <xf numFmtId="178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0" fontId="22" fillId="0" borderId="4" xfId="2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8" fillId="0" borderId="57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77" fontId="0" fillId="0" borderId="24" xfId="0" applyNumberFormat="1" applyBorder="1" applyAlignment="1">
      <alignment horizontal="center" vertical="center"/>
    </xf>
    <xf numFmtId="177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標準" xfId="0" builtinId="0"/>
    <cellStyle name="標準 2" xfId="2" xr:uid="{00000000-0005-0000-0000-000001000000}"/>
    <cellStyle name="標準_month01" xfId="1" xr:uid="{00000000-0005-0000-0000-000002000000}"/>
  </cellStyles>
  <dxfs count="51">
    <dxf>
      <numFmt numFmtId="186" formatCode="&quot;　&quot;@"/>
      <fill>
        <patternFill>
          <bgColor rgb="FFFFCCCC"/>
        </patternFill>
      </fill>
    </dxf>
    <dxf>
      <numFmt numFmtId="186" formatCode="&quot;　&quot;@"/>
      <fill>
        <patternFill>
          <bgColor theme="4" tint="0.59996337778862885"/>
        </patternFill>
      </fill>
    </dxf>
    <dxf>
      <numFmt numFmtId="186" formatCode="&quot;　&quot;@"/>
      <fill>
        <patternFill>
          <bgColor rgb="FFCCFF99"/>
        </patternFill>
      </fill>
    </dxf>
    <dxf>
      <numFmt numFmtId="186" formatCode="&quot;　&quot;@"/>
      <fill>
        <patternFill>
          <bgColor rgb="FFFFFF99"/>
        </patternFill>
      </fill>
    </dxf>
    <dxf>
      <numFmt numFmtId="186" formatCode="&quot;　&quot;@"/>
      <fill>
        <patternFill>
          <bgColor theme="0" tint="-4.9989318521683403E-2"/>
        </patternFill>
      </fill>
    </dxf>
    <dxf>
      <numFmt numFmtId="187" formatCode=";;;"/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numFmt numFmtId="186" formatCode="&quot;　&quot;@"/>
      <fill>
        <patternFill>
          <bgColor rgb="FFFFCCCC"/>
        </patternFill>
      </fill>
    </dxf>
    <dxf>
      <numFmt numFmtId="186" formatCode="&quot;　&quot;@"/>
      <fill>
        <patternFill>
          <bgColor theme="4" tint="0.59996337778862885"/>
        </patternFill>
      </fill>
    </dxf>
    <dxf>
      <numFmt numFmtId="186" formatCode="&quot;　&quot;@"/>
      <fill>
        <patternFill>
          <bgColor rgb="FFCCFF99"/>
        </patternFill>
      </fill>
    </dxf>
    <dxf>
      <numFmt numFmtId="186" formatCode="&quot;　&quot;@"/>
      <fill>
        <patternFill>
          <bgColor rgb="FFFFFF99"/>
        </patternFill>
      </fill>
    </dxf>
    <dxf>
      <numFmt numFmtId="186" formatCode="&quot;　&quot;@"/>
      <fill>
        <patternFill>
          <bgColor theme="0" tint="-4.9989318521683403E-2"/>
        </patternFill>
      </fill>
    </dxf>
    <dxf>
      <numFmt numFmtId="187" formatCode=";;;"/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lightGray">
          <fgColor indexed="14"/>
        </patternFill>
      </fill>
    </dxf>
    <dxf>
      <fill>
        <patternFill patternType="lightGray">
          <fgColor indexed="14"/>
        </patternFill>
      </fill>
    </dxf>
    <dxf>
      <font>
        <color rgb="FFFF0000"/>
      </font>
    </dxf>
    <dxf>
      <font>
        <color theme="0"/>
      </font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mediumGray">
          <fgColor rgb="FFFF00FF"/>
          <bgColor rgb="FFFFFFFF"/>
        </patternFill>
      </fill>
    </dxf>
    <dxf>
      <fill>
        <patternFill patternType="lightGray">
          <fgColor indexed="14"/>
        </patternFill>
      </fill>
    </dxf>
    <dxf>
      <fill>
        <patternFill patternType="lightGray">
          <fgColor indexed="14"/>
        </patternFill>
      </fill>
    </dxf>
    <dxf>
      <fill>
        <patternFill>
          <bgColor rgb="FFF9AFAD"/>
        </patternFill>
      </fill>
    </dxf>
    <dxf>
      <fill>
        <patternFill>
          <bgColor theme="4" tint="0.59996337778862885"/>
        </patternFill>
      </fill>
    </dxf>
    <dxf>
      <fill>
        <patternFill>
          <bgColor rgb="FFCCFF99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FFF99"/>
      <color rgb="FFCCFF99"/>
      <color rgb="FFFFCCCC"/>
      <color rgb="FFFF99CC"/>
      <color rgb="FFF9AFAD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6</xdr:row>
          <xdr:rowOff>238125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1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③時間割完成！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254895</xdr:colOff>
          <xdr:row>0</xdr:row>
          <xdr:rowOff>34074</xdr:rowOff>
        </xdr:from>
        <xdr:to>
          <xdr:col>29</xdr:col>
          <xdr:colOff>67078</xdr:colOff>
          <xdr:row>0</xdr:row>
          <xdr:rowOff>294729</xdr:rowOff>
        </xdr:to>
        <xdr:pic>
          <xdr:nvPicPr>
            <xdr:cNvPr id="4" name="図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O$2:$AW$2" spid="_x0000_s737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526092" y="34074"/>
              <a:ext cx="2548944" cy="2606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777587</xdr:colOff>
          <xdr:row>0</xdr:row>
          <xdr:rowOff>85725</xdr:rowOff>
        </xdr:from>
        <xdr:to>
          <xdr:col>47</xdr:col>
          <xdr:colOff>1450398</xdr:colOff>
          <xdr:row>0</xdr:row>
          <xdr:rowOff>333375</xdr:rowOff>
        </xdr:to>
        <xdr:pic>
          <xdr:nvPicPr>
            <xdr:cNvPr id="5" name="図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年間!$AO$2:$AW$2" spid="_x0000_s748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2452542" y="85725"/>
              <a:ext cx="2421947" cy="247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6311</xdr:colOff>
          <xdr:row>12</xdr:row>
          <xdr:rowOff>168051</xdr:rowOff>
        </xdr:from>
        <xdr:to>
          <xdr:col>12</xdr:col>
          <xdr:colOff>12700</xdr:colOff>
          <xdr:row>17</xdr:row>
          <xdr:rowOff>368513</xdr:rowOff>
        </xdr:to>
        <xdr:pic>
          <xdr:nvPicPr>
            <xdr:cNvPr id="10" name="図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28:$T$34" spid="_x0000_s53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49911" y="4143151"/>
              <a:ext cx="4425989" cy="196576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12</xdr:col>
          <xdr:colOff>0</xdr:colOff>
          <xdr:row>12</xdr:row>
          <xdr:rowOff>104850</xdr:rowOff>
        </xdr:to>
        <xdr:pic>
          <xdr:nvPicPr>
            <xdr:cNvPr id="6" name="図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I$35:$L$51" spid="_x0000_s532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943600" y="419100"/>
              <a:ext cx="4419600" cy="3660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8</xdr:col>
      <xdr:colOff>0</xdr:colOff>
      <xdr:row>18</xdr:row>
      <xdr:rowOff>11075</xdr:rowOff>
    </xdr:from>
    <xdr:to>
      <xdr:col>12</xdr:col>
      <xdr:colOff>0</xdr:colOff>
      <xdr:row>20</xdr:row>
      <xdr:rowOff>476249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936512" y="6169098"/>
          <a:ext cx="4430232" cy="119616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406400</xdr:colOff>
          <xdr:row>0</xdr:row>
          <xdr:rowOff>88900</xdr:rowOff>
        </xdr:from>
        <xdr:to>
          <xdr:col>11</xdr:col>
          <xdr:colOff>606425</xdr:colOff>
          <xdr:row>1</xdr:row>
          <xdr:rowOff>222250</xdr:rowOff>
        </xdr:to>
        <xdr:pic>
          <xdr:nvPicPr>
            <xdr:cNvPr id="5" name="図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年間!$AO$2:$AW$2" spid="_x0000_s532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7035800" y="88900"/>
              <a:ext cx="2409825" cy="247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406400</xdr:colOff>
          <xdr:row>0</xdr:row>
          <xdr:rowOff>88900</xdr:rowOff>
        </xdr:from>
        <xdr:to>
          <xdr:col>11</xdr:col>
          <xdr:colOff>606425</xdr:colOff>
          <xdr:row>1</xdr:row>
          <xdr:rowOff>222250</xdr:rowOff>
        </xdr:to>
        <xdr:pic>
          <xdr:nvPicPr>
            <xdr:cNvPr id="7" name="図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年間!$AO$2:$AW$2" spid="_x0000_s768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035800" y="88900"/>
              <a:ext cx="2409825" cy="247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A34"/>
  <sheetViews>
    <sheetView view="pageBreakPreview" zoomScale="91" zoomScaleNormal="90" zoomScaleSheetLayoutView="91" workbookViewId="0"/>
  </sheetViews>
  <sheetFormatPr defaultRowHeight="13.5"/>
  <cols>
    <col min="1" max="1" width="15.625" style="121" customWidth="1"/>
    <col min="2" max="7" width="10.375" style="121" hidden="1" customWidth="1"/>
    <col min="8" max="10" width="11.625" style="121" hidden="1" customWidth="1"/>
    <col min="11" max="13" width="10.375" style="121" hidden="1" customWidth="1"/>
    <col min="14" max="25" width="5.875" style="121" hidden="1" customWidth="1"/>
    <col min="26" max="26" width="3.625" style="121" customWidth="1"/>
    <col min="27" max="27" width="2.25" style="173" customWidth="1"/>
    <col min="28" max="28" width="20.625" style="121" customWidth="1"/>
    <col min="29" max="29" width="2.25" style="174" bestFit="1" customWidth="1"/>
    <col min="30" max="30" width="20.625" style="143" customWidth="1"/>
    <col min="31" max="31" width="2.25" style="174" bestFit="1" customWidth="1"/>
    <col min="32" max="32" width="20.625" style="143" customWidth="1"/>
    <col min="33" max="33" width="2.25" style="174" bestFit="1" customWidth="1"/>
    <col min="34" max="34" width="20.625" style="143" customWidth="1"/>
    <col min="35" max="35" width="2.25" style="174" bestFit="1" customWidth="1"/>
    <col min="36" max="36" width="20.625" style="143" customWidth="1"/>
    <col min="37" max="37" width="2.25" style="174" bestFit="1" customWidth="1"/>
    <col min="38" max="38" width="20.625" style="143" customWidth="1"/>
    <col min="39" max="39" width="2.25" style="174" customWidth="1"/>
    <col min="40" max="40" width="20.625" style="143" customWidth="1"/>
    <col min="41" max="41" width="2.25" style="174" bestFit="1" customWidth="1"/>
    <col min="42" max="42" width="20.625" style="143" customWidth="1"/>
    <col min="43" max="43" width="2.25" style="174" bestFit="1" customWidth="1"/>
    <col min="44" max="44" width="20.625" style="143" customWidth="1"/>
    <col min="45" max="45" width="2.25" style="174" bestFit="1" customWidth="1"/>
    <col min="46" max="46" width="20.625" style="143" customWidth="1"/>
    <col min="47" max="47" width="2.25" style="174" bestFit="1" customWidth="1"/>
    <col min="48" max="48" width="20.625" style="143" customWidth="1"/>
    <col min="49" max="49" width="2.25" style="174" bestFit="1" customWidth="1"/>
    <col min="50" max="50" width="20.625" style="143" customWidth="1"/>
    <col min="51" max="256" width="9" style="121"/>
    <col min="257" max="257" width="15.625" style="121" customWidth="1"/>
    <col min="258" max="281" width="0" style="121" hidden="1" customWidth="1"/>
    <col min="282" max="282" width="3.625" style="121" customWidth="1"/>
    <col min="283" max="283" width="8.25" style="121" bestFit="1" customWidth="1"/>
    <col min="284" max="284" width="20.625" style="121" customWidth="1"/>
    <col min="285" max="285" width="2.25" style="121" bestFit="1" customWidth="1"/>
    <col min="286" max="286" width="20.625" style="121" customWidth="1"/>
    <col min="287" max="287" width="2.25" style="121" bestFit="1" customWidth="1"/>
    <col min="288" max="288" width="20.625" style="121" customWidth="1"/>
    <col min="289" max="289" width="2.25" style="121" bestFit="1" customWidth="1"/>
    <col min="290" max="290" width="20.625" style="121" customWidth="1"/>
    <col min="291" max="291" width="2.25" style="121" bestFit="1" customWidth="1"/>
    <col min="292" max="292" width="20.625" style="121" customWidth="1"/>
    <col min="293" max="293" width="2.25" style="121" bestFit="1" customWidth="1"/>
    <col min="294" max="294" width="20.625" style="121" customWidth="1"/>
    <col min="295" max="295" width="2.25" style="121" bestFit="1" customWidth="1"/>
    <col min="296" max="296" width="20.625" style="121" customWidth="1"/>
    <col min="297" max="297" width="2.25" style="121" bestFit="1" customWidth="1"/>
    <col min="298" max="298" width="20.625" style="121" customWidth="1"/>
    <col min="299" max="299" width="2.25" style="121" bestFit="1" customWidth="1"/>
    <col min="300" max="300" width="20.625" style="121" customWidth="1"/>
    <col min="301" max="301" width="2.25" style="121" bestFit="1" customWidth="1"/>
    <col min="302" max="302" width="20.625" style="121" customWidth="1"/>
    <col min="303" max="303" width="2.25" style="121" bestFit="1" customWidth="1"/>
    <col min="304" max="304" width="20.625" style="121" customWidth="1"/>
    <col min="305" max="305" width="2.25" style="121" bestFit="1" customWidth="1"/>
    <col min="306" max="306" width="20.625" style="121" customWidth="1"/>
    <col min="307" max="512" width="9" style="121"/>
    <col min="513" max="513" width="15.625" style="121" customWidth="1"/>
    <col min="514" max="537" width="0" style="121" hidden="1" customWidth="1"/>
    <col min="538" max="538" width="3.625" style="121" customWidth="1"/>
    <col min="539" max="539" width="8.25" style="121" bestFit="1" customWidth="1"/>
    <col min="540" max="540" width="20.625" style="121" customWidth="1"/>
    <col min="541" max="541" width="2.25" style="121" bestFit="1" customWidth="1"/>
    <col min="542" max="542" width="20.625" style="121" customWidth="1"/>
    <col min="543" max="543" width="2.25" style="121" bestFit="1" customWidth="1"/>
    <col min="544" max="544" width="20.625" style="121" customWidth="1"/>
    <col min="545" max="545" width="2.25" style="121" bestFit="1" customWidth="1"/>
    <col min="546" max="546" width="20.625" style="121" customWidth="1"/>
    <col min="547" max="547" width="2.25" style="121" bestFit="1" customWidth="1"/>
    <col min="548" max="548" width="20.625" style="121" customWidth="1"/>
    <col min="549" max="549" width="2.25" style="121" bestFit="1" customWidth="1"/>
    <col min="550" max="550" width="20.625" style="121" customWidth="1"/>
    <col min="551" max="551" width="2.25" style="121" bestFit="1" customWidth="1"/>
    <col min="552" max="552" width="20.625" style="121" customWidth="1"/>
    <col min="553" max="553" width="2.25" style="121" bestFit="1" customWidth="1"/>
    <col min="554" max="554" width="20.625" style="121" customWidth="1"/>
    <col min="555" max="555" width="2.25" style="121" bestFit="1" customWidth="1"/>
    <col min="556" max="556" width="20.625" style="121" customWidth="1"/>
    <col min="557" max="557" width="2.25" style="121" bestFit="1" customWidth="1"/>
    <col min="558" max="558" width="20.625" style="121" customWidth="1"/>
    <col min="559" max="559" width="2.25" style="121" bestFit="1" customWidth="1"/>
    <col min="560" max="560" width="20.625" style="121" customWidth="1"/>
    <col min="561" max="561" width="2.25" style="121" bestFit="1" customWidth="1"/>
    <col min="562" max="562" width="20.625" style="121" customWidth="1"/>
    <col min="563" max="768" width="9" style="121"/>
    <col min="769" max="769" width="15.625" style="121" customWidth="1"/>
    <col min="770" max="793" width="0" style="121" hidden="1" customWidth="1"/>
    <col min="794" max="794" width="3.625" style="121" customWidth="1"/>
    <col min="795" max="795" width="8.25" style="121" bestFit="1" customWidth="1"/>
    <col min="796" max="796" width="20.625" style="121" customWidth="1"/>
    <col min="797" max="797" width="2.25" style="121" bestFit="1" customWidth="1"/>
    <col min="798" max="798" width="20.625" style="121" customWidth="1"/>
    <col min="799" max="799" width="2.25" style="121" bestFit="1" customWidth="1"/>
    <col min="800" max="800" width="20.625" style="121" customWidth="1"/>
    <col min="801" max="801" width="2.25" style="121" bestFit="1" customWidth="1"/>
    <col min="802" max="802" width="20.625" style="121" customWidth="1"/>
    <col min="803" max="803" width="2.25" style="121" bestFit="1" customWidth="1"/>
    <col min="804" max="804" width="20.625" style="121" customWidth="1"/>
    <col min="805" max="805" width="2.25" style="121" bestFit="1" customWidth="1"/>
    <col min="806" max="806" width="20.625" style="121" customWidth="1"/>
    <col min="807" max="807" width="2.25" style="121" bestFit="1" customWidth="1"/>
    <col min="808" max="808" width="20.625" style="121" customWidth="1"/>
    <col min="809" max="809" width="2.25" style="121" bestFit="1" customWidth="1"/>
    <col min="810" max="810" width="20.625" style="121" customWidth="1"/>
    <col min="811" max="811" width="2.25" style="121" bestFit="1" customWidth="1"/>
    <col min="812" max="812" width="20.625" style="121" customWidth="1"/>
    <col min="813" max="813" width="2.25" style="121" bestFit="1" customWidth="1"/>
    <col min="814" max="814" width="20.625" style="121" customWidth="1"/>
    <col min="815" max="815" width="2.25" style="121" bestFit="1" customWidth="1"/>
    <col min="816" max="816" width="20.625" style="121" customWidth="1"/>
    <col min="817" max="817" width="2.25" style="121" bestFit="1" customWidth="1"/>
    <col min="818" max="818" width="20.625" style="121" customWidth="1"/>
    <col min="819" max="1024" width="9" style="121"/>
    <col min="1025" max="1025" width="15.625" style="121" customWidth="1"/>
    <col min="1026" max="1049" width="0" style="121" hidden="1" customWidth="1"/>
    <col min="1050" max="1050" width="3.625" style="121" customWidth="1"/>
    <col min="1051" max="1051" width="8.25" style="121" bestFit="1" customWidth="1"/>
    <col min="1052" max="1052" width="20.625" style="121" customWidth="1"/>
    <col min="1053" max="1053" width="2.25" style="121" bestFit="1" customWidth="1"/>
    <col min="1054" max="1054" width="20.625" style="121" customWidth="1"/>
    <col min="1055" max="1055" width="2.25" style="121" bestFit="1" customWidth="1"/>
    <col min="1056" max="1056" width="20.625" style="121" customWidth="1"/>
    <col min="1057" max="1057" width="2.25" style="121" bestFit="1" customWidth="1"/>
    <col min="1058" max="1058" width="20.625" style="121" customWidth="1"/>
    <col min="1059" max="1059" width="2.25" style="121" bestFit="1" customWidth="1"/>
    <col min="1060" max="1060" width="20.625" style="121" customWidth="1"/>
    <col min="1061" max="1061" width="2.25" style="121" bestFit="1" customWidth="1"/>
    <col min="1062" max="1062" width="20.625" style="121" customWidth="1"/>
    <col min="1063" max="1063" width="2.25" style="121" bestFit="1" customWidth="1"/>
    <col min="1064" max="1064" width="20.625" style="121" customWidth="1"/>
    <col min="1065" max="1065" width="2.25" style="121" bestFit="1" customWidth="1"/>
    <col min="1066" max="1066" width="20.625" style="121" customWidth="1"/>
    <col min="1067" max="1067" width="2.25" style="121" bestFit="1" customWidth="1"/>
    <col min="1068" max="1068" width="20.625" style="121" customWidth="1"/>
    <col min="1069" max="1069" width="2.25" style="121" bestFit="1" customWidth="1"/>
    <col min="1070" max="1070" width="20.625" style="121" customWidth="1"/>
    <col min="1071" max="1071" width="2.25" style="121" bestFit="1" customWidth="1"/>
    <col min="1072" max="1072" width="20.625" style="121" customWidth="1"/>
    <col min="1073" max="1073" width="2.25" style="121" bestFit="1" customWidth="1"/>
    <col min="1074" max="1074" width="20.625" style="121" customWidth="1"/>
    <col min="1075" max="1280" width="9" style="121"/>
    <col min="1281" max="1281" width="15.625" style="121" customWidth="1"/>
    <col min="1282" max="1305" width="0" style="121" hidden="1" customWidth="1"/>
    <col min="1306" max="1306" width="3.625" style="121" customWidth="1"/>
    <col min="1307" max="1307" width="8.25" style="121" bestFit="1" customWidth="1"/>
    <col min="1308" max="1308" width="20.625" style="121" customWidth="1"/>
    <col min="1309" max="1309" width="2.25" style="121" bestFit="1" customWidth="1"/>
    <col min="1310" max="1310" width="20.625" style="121" customWidth="1"/>
    <col min="1311" max="1311" width="2.25" style="121" bestFit="1" customWidth="1"/>
    <col min="1312" max="1312" width="20.625" style="121" customWidth="1"/>
    <col min="1313" max="1313" width="2.25" style="121" bestFit="1" customWidth="1"/>
    <col min="1314" max="1314" width="20.625" style="121" customWidth="1"/>
    <col min="1315" max="1315" width="2.25" style="121" bestFit="1" customWidth="1"/>
    <col min="1316" max="1316" width="20.625" style="121" customWidth="1"/>
    <col min="1317" max="1317" width="2.25" style="121" bestFit="1" customWidth="1"/>
    <col min="1318" max="1318" width="20.625" style="121" customWidth="1"/>
    <col min="1319" max="1319" width="2.25" style="121" bestFit="1" customWidth="1"/>
    <col min="1320" max="1320" width="20.625" style="121" customWidth="1"/>
    <col min="1321" max="1321" width="2.25" style="121" bestFit="1" customWidth="1"/>
    <col min="1322" max="1322" width="20.625" style="121" customWidth="1"/>
    <col min="1323" max="1323" width="2.25" style="121" bestFit="1" customWidth="1"/>
    <col min="1324" max="1324" width="20.625" style="121" customWidth="1"/>
    <col min="1325" max="1325" width="2.25" style="121" bestFit="1" customWidth="1"/>
    <col min="1326" max="1326" width="20.625" style="121" customWidth="1"/>
    <col min="1327" max="1327" width="2.25" style="121" bestFit="1" customWidth="1"/>
    <col min="1328" max="1328" width="20.625" style="121" customWidth="1"/>
    <col min="1329" max="1329" width="2.25" style="121" bestFit="1" customWidth="1"/>
    <col min="1330" max="1330" width="20.625" style="121" customWidth="1"/>
    <col min="1331" max="1536" width="9" style="121"/>
    <col min="1537" max="1537" width="15.625" style="121" customWidth="1"/>
    <col min="1538" max="1561" width="0" style="121" hidden="1" customWidth="1"/>
    <col min="1562" max="1562" width="3.625" style="121" customWidth="1"/>
    <col min="1563" max="1563" width="8.25" style="121" bestFit="1" customWidth="1"/>
    <col min="1564" max="1564" width="20.625" style="121" customWidth="1"/>
    <col min="1565" max="1565" width="2.25" style="121" bestFit="1" customWidth="1"/>
    <col min="1566" max="1566" width="20.625" style="121" customWidth="1"/>
    <col min="1567" max="1567" width="2.25" style="121" bestFit="1" customWidth="1"/>
    <col min="1568" max="1568" width="20.625" style="121" customWidth="1"/>
    <col min="1569" max="1569" width="2.25" style="121" bestFit="1" customWidth="1"/>
    <col min="1570" max="1570" width="20.625" style="121" customWidth="1"/>
    <col min="1571" max="1571" width="2.25" style="121" bestFit="1" customWidth="1"/>
    <col min="1572" max="1572" width="20.625" style="121" customWidth="1"/>
    <col min="1573" max="1573" width="2.25" style="121" bestFit="1" customWidth="1"/>
    <col min="1574" max="1574" width="20.625" style="121" customWidth="1"/>
    <col min="1575" max="1575" width="2.25" style="121" bestFit="1" customWidth="1"/>
    <col min="1576" max="1576" width="20.625" style="121" customWidth="1"/>
    <col min="1577" max="1577" width="2.25" style="121" bestFit="1" customWidth="1"/>
    <col min="1578" max="1578" width="20.625" style="121" customWidth="1"/>
    <col min="1579" max="1579" width="2.25" style="121" bestFit="1" customWidth="1"/>
    <col min="1580" max="1580" width="20.625" style="121" customWidth="1"/>
    <col min="1581" max="1581" width="2.25" style="121" bestFit="1" customWidth="1"/>
    <col min="1582" max="1582" width="20.625" style="121" customWidth="1"/>
    <col min="1583" max="1583" width="2.25" style="121" bestFit="1" customWidth="1"/>
    <col min="1584" max="1584" width="20.625" style="121" customWidth="1"/>
    <col min="1585" max="1585" width="2.25" style="121" bestFit="1" customWidth="1"/>
    <col min="1586" max="1586" width="20.625" style="121" customWidth="1"/>
    <col min="1587" max="1792" width="9" style="121"/>
    <col min="1793" max="1793" width="15.625" style="121" customWidth="1"/>
    <col min="1794" max="1817" width="0" style="121" hidden="1" customWidth="1"/>
    <col min="1818" max="1818" width="3.625" style="121" customWidth="1"/>
    <col min="1819" max="1819" width="8.25" style="121" bestFit="1" customWidth="1"/>
    <col min="1820" max="1820" width="20.625" style="121" customWidth="1"/>
    <col min="1821" max="1821" width="2.25" style="121" bestFit="1" customWidth="1"/>
    <col min="1822" max="1822" width="20.625" style="121" customWidth="1"/>
    <col min="1823" max="1823" width="2.25" style="121" bestFit="1" customWidth="1"/>
    <col min="1824" max="1824" width="20.625" style="121" customWidth="1"/>
    <col min="1825" max="1825" width="2.25" style="121" bestFit="1" customWidth="1"/>
    <col min="1826" max="1826" width="20.625" style="121" customWidth="1"/>
    <col min="1827" max="1827" width="2.25" style="121" bestFit="1" customWidth="1"/>
    <col min="1828" max="1828" width="20.625" style="121" customWidth="1"/>
    <col min="1829" max="1829" width="2.25" style="121" bestFit="1" customWidth="1"/>
    <col min="1830" max="1830" width="20.625" style="121" customWidth="1"/>
    <col min="1831" max="1831" width="2.25" style="121" bestFit="1" customWidth="1"/>
    <col min="1832" max="1832" width="20.625" style="121" customWidth="1"/>
    <col min="1833" max="1833" width="2.25" style="121" bestFit="1" customWidth="1"/>
    <col min="1834" max="1834" width="20.625" style="121" customWidth="1"/>
    <col min="1835" max="1835" width="2.25" style="121" bestFit="1" customWidth="1"/>
    <col min="1836" max="1836" width="20.625" style="121" customWidth="1"/>
    <col min="1837" max="1837" width="2.25" style="121" bestFit="1" customWidth="1"/>
    <col min="1838" max="1838" width="20.625" style="121" customWidth="1"/>
    <col min="1839" max="1839" width="2.25" style="121" bestFit="1" customWidth="1"/>
    <col min="1840" max="1840" width="20.625" style="121" customWidth="1"/>
    <col min="1841" max="1841" width="2.25" style="121" bestFit="1" customWidth="1"/>
    <col min="1842" max="1842" width="20.625" style="121" customWidth="1"/>
    <col min="1843" max="2048" width="9" style="121"/>
    <col min="2049" max="2049" width="15.625" style="121" customWidth="1"/>
    <col min="2050" max="2073" width="0" style="121" hidden="1" customWidth="1"/>
    <col min="2074" max="2074" width="3.625" style="121" customWidth="1"/>
    <col min="2075" max="2075" width="8.25" style="121" bestFit="1" customWidth="1"/>
    <col min="2076" max="2076" width="20.625" style="121" customWidth="1"/>
    <col min="2077" max="2077" width="2.25" style="121" bestFit="1" customWidth="1"/>
    <col min="2078" max="2078" width="20.625" style="121" customWidth="1"/>
    <col min="2079" max="2079" width="2.25" style="121" bestFit="1" customWidth="1"/>
    <col min="2080" max="2080" width="20.625" style="121" customWidth="1"/>
    <col min="2081" max="2081" width="2.25" style="121" bestFit="1" customWidth="1"/>
    <col min="2082" max="2082" width="20.625" style="121" customWidth="1"/>
    <col min="2083" max="2083" width="2.25" style="121" bestFit="1" customWidth="1"/>
    <col min="2084" max="2084" width="20.625" style="121" customWidth="1"/>
    <col min="2085" max="2085" width="2.25" style="121" bestFit="1" customWidth="1"/>
    <col min="2086" max="2086" width="20.625" style="121" customWidth="1"/>
    <col min="2087" max="2087" width="2.25" style="121" bestFit="1" customWidth="1"/>
    <col min="2088" max="2088" width="20.625" style="121" customWidth="1"/>
    <col min="2089" max="2089" width="2.25" style="121" bestFit="1" customWidth="1"/>
    <col min="2090" max="2090" width="20.625" style="121" customWidth="1"/>
    <col min="2091" max="2091" width="2.25" style="121" bestFit="1" customWidth="1"/>
    <col min="2092" max="2092" width="20.625" style="121" customWidth="1"/>
    <col min="2093" max="2093" width="2.25" style="121" bestFit="1" customWidth="1"/>
    <col min="2094" max="2094" width="20.625" style="121" customWidth="1"/>
    <col min="2095" max="2095" width="2.25" style="121" bestFit="1" customWidth="1"/>
    <col min="2096" max="2096" width="20.625" style="121" customWidth="1"/>
    <col min="2097" max="2097" width="2.25" style="121" bestFit="1" customWidth="1"/>
    <col min="2098" max="2098" width="20.625" style="121" customWidth="1"/>
    <col min="2099" max="2304" width="9" style="121"/>
    <col min="2305" max="2305" width="15.625" style="121" customWidth="1"/>
    <col min="2306" max="2329" width="0" style="121" hidden="1" customWidth="1"/>
    <col min="2330" max="2330" width="3.625" style="121" customWidth="1"/>
    <col min="2331" max="2331" width="8.25" style="121" bestFit="1" customWidth="1"/>
    <col min="2332" max="2332" width="20.625" style="121" customWidth="1"/>
    <col min="2333" max="2333" width="2.25" style="121" bestFit="1" customWidth="1"/>
    <col min="2334" max="2334" width="20.625" style="121" customWidth="1"/>
    <col min="2335" max="2335" width="2.25" style="121" bestFit="1" customWidth="1"/>
    <col min="2336" max="2336" width="20.625" style="121" customWidth="1"/>
    <col min="2337" max="2337" width="2.25" style="121" bestFit="1" customWidth="1"/>
    <col min="2338" max="2338" width="20.625" style="121" customWidth="1"/>
    <col min="2339" max="2339" width="2.25" style="121" bestFit="1" customWidth="1"/>
    <col min="2340" max="2340" width="20.625" style="121" customWidth="1"/>
    <col min="2341" max="2341" width="2.25" style="121" bestFit="1" customWidth="1"/>
    <col min="2342" max="2342" width="20.625" style="121" customWidth="1"/>
    <col min="2343" max="2343" width="2.25" style="121" bestFit="1" customWidth="1"/>
    <col min="2344" max="2344" width="20.625" style="121" customWidth="1"/>
    <col min="2345" max="2345" width="2.25" style="121" bestFit="1" customWidth="1"/>
    <col min="2346" max="2346" width="20.625" style="121" customWidth="1"/>
    <col min="2347" max="2347" width="2.25" style="121" bestFit="1" customWidth="1"/>
    <col min="2348" max="2348" width="20.625" style="121" customWidth="1"/>
    <col min="2349" max="2349" width="2.25" style="121" bestFit="1" customWidth="1"/>
    <col min="2350" max="2350" width="20.625" style="121" customWidth="1"/>
    <col min="2351" max="2351" width="2.25" style="121" bestFit="1" customWidth="1"/>
    <col min="2352" max="2352" width="20.625" style="121" customWidth="1"/>
    <col min="2353" max="2353" width="2.25" style="121" bestFit="1" customWidth="1"/>
    <col min="2354" max="2354" width="20.625" style="121" customWidth="1"/>
    <col min="2355" max="2560" width="9" style="121"/>
    <col min="2561" max="2561" width="15.625" style="121" customWidth="1"/>
    <col min="2562" max="2585" width="0" style="121" hidden="1" customWidth="1"/>
    <col min="2586" max="2586" width="3.625" style="121" customWidth="1"/>
    <col min="2587" max="2587" width="8.25" style="121" bestFit="1" customWidth="1"/>
    <col min="2588" max="2588" width="20.625" style="121" customWidth="1"/>
    <col min="2589" max="2589" width="2.25" style="121" bestFit="1" customWidth="1"/>
    <col min="2590" max="2590" width="20.625" style="121" customWidth="1"/>
    <col min="2591" max="2591" width="2.25" style="121" bestFit="1" customWidth="1"/>
    <col min="2592" max="2592" width="20.625" style="121" customWidth="1"/>
    <col min="2593" max="2593" width="2.25" style="121" bestFit="1" customWidth="1"/>
    <col min="2594" max="2594" width="20.625" style="121" customWidth="1"/>
    <col min="2595" max="2595" width="2.25" style="121" bestFit="1" customWidth="1"/>
    <col min="2596" max="2596" width="20.625" style="121" customWidth="1"/>
    <col min="2597" max="2597" width="2.25" style="121" bestFit="1" customWidth="1"/>
    <col min="2598" max="2598" width="20.625" style="121" customWidth="1"/>
    <col min="2599" max="2599" width="2.25" style="121" bestFit="1" customWidth="1"/>
    <col min="2600" max="2600" width="20.625" style="121" customWidth="1"/>
    <col min="2601" max="2601" width="2.25" style="121" bestFit="1" customWidth="1"/>
    <col min="2602" max="2602" width="20.625" style="121" customWidth="1"/>
    <col min="2603" max="2603" width="2.25" style="121" bestFit="1" customWidth="1"/>
    <col min="2604" max="2604" width="20.625" style="121" customWidth="1"/>
    <col min="2605" max="2605" width="2.25" style="121" bestFit="1" customWidth="1"/>
    <col min="2606" max="2606" width="20.625" style="121" customWidth="1"/>
    <col min="2607" max="2607" width="2.25" style="121" bestFit="1" customWidth="1"/>
    <col min="2608" max="2608" width="20.625" style="121" customWidth="1"/>
    <col min="2609" max="2609" width="2.25" style="121" bestFit="1" customWidth="1"/>
    <col min="2610" max="2610" width="20.625" style="121" customWidth="1"/>
    <col min="2611" max="2816" width="9" style="121"/>
    <col min="2817" max="2817" width="15.625" style="121" customWidth="1"/>
    <col min="2818" max="2841" width="0" style="121" hidden="1" customWidth="1"/>
    <col min="2842" max="2842" width="3.625" style="121" customWidth="1"/>
    <col min="2843" max="2843" width="8.25" style="121" bestFit="1" customWidth="1"/>
    <col min="2844" max="2844" width="20.625" style="121" customWidth="1"/>
    <col min="2845" max="2845" width="2.25" style="121" bestFit="1" customWidth="1"/>
    <col min="2846" max="2846" width="20.625" style="121" customWidth="1"/>
    <col min="2847" max="2847" width="2.25" style="121" bestFit="1" customWidth="1"/>
    <col min="2848" max="2848" width="20.625" style="121" customWidth="1"/>
    <col min="2849" max="2849" width="2.25" style="121" bestFit="1" customWidth="1"/>
    <col min="2850" max="2850" width="20.625" style="121" customWidth="1"/>
    <col min="2851" max="2851" width="2.25" style="121" bestFit="1" customWidth="1"/>
    <col min="2852" max="2852" width="20.625" style="121" customWidth="1"/>
    <col min="2853" max="2853" width="2.25" style="121" bestFit="1" customWidth="1"/>
    <col min="2854" max="2854" width="20.625" style="121" customWidth="1"/>
    <col min="2855" max="2855" width="2.25" style="121" bestFit="1" customWidth="1"/>
    <col min="2856" max="2856" width="20.625" style="121" customWidth="1"/>
    <col min="2857" max="2857" width="2.25" style="121" bestFit="1" customWidth="1"/>
    <col min="2858" max="2858" width="20.625" style="121" customWidth="1"/>
    <col min="2859" max="2859" width="2.25" style="121" bestFit="1" customWidth="1"/>
    <col min="2860" max="2860" width="20.625" style="121" customWidth="1"/>
    <col min="2861" max="2861" width="2.25" style="121" bestFit="1" customWidth="1"/>
    <col min="2862" max="2862" width="20.625" style="121" customWidth="1"/>
    <col min="2863" max="2863" width="2.25" style="121" bestFit="1" customWidth="1"/>
    <col min="2864" max="2864" width="20.625" style="121" customWidth="1"/>
    <col min="2865" max="2865" width="2.25" style="121" bestFit="1" customWidth="1"/>
    <col min="2866" max="2866" width="20.625" style="121" customWidth="1"/>
    <col min="2867" max="3072" width="9" style="121"/>
    <col min="3073" max="3073" width="15.625" style="121" customWidth="1"/>
    <col min="3074" max="3097" width="0" style="121" hidden="1" customWidth="1"/>
    <col min="3098" max="3098" width="3.625" style="121" customWidth="1"/>
    <col min="3099" max="3099" width="8.25" style="121" bestFit="1" customWidth="1"/>
    <col min="3100" max="3100" width="20.625" style="121" customWidth="1"/>
    <col min="3101" max="3101" width="2.25" style="121" bestFit="1" customWidth="1"/>
    <col min="3102" max="3102" width="20.625" style="121" customWidth="1"/>
    <col min="3103" max="3103" width="2.25" style="121" bestFit="1" customWidth="1"/>
    <col min="3104" max="3104" width="20.625" style="121" customWidth="1"/>
    <col min="3105" max="3105" width="2.25" style="121" bestFit="1" customWidth="1"/>
    <col min="3106" max="3106" width="20.625" style="121" customWidth="1"/>
    <col min="3107" max="3107" width="2.25" style="121" bestFit="1" customWidth="1"/>
    <col min="3108" max="3108" width="20.625" style="121" customWidth="1"/>
    <col min="3109" max="3109" width="2.25" style="121" bestFit="1" customWidth="1"/>
    <col min="3110" max="3110" width="20.625" style="121" customWidth="1"/>
    <col min="3111" max="3111" width="2.25" style="121" bestFit="1" customWidth="1"/>
    <col min="3112" max="3112" width="20.625" style="121" customWidth="1"/>
    <col min="3113" max="3113" width="2.25" style="121" bestFit="1" customWidth="1"/>
    <col min="3114" max="3114" width="20.625" style="121" customWidth="1"/>
    <col min="3115" max="3115" width="2.25" style="121" bestFit="1" customWidth="1"/>
    <col min="3116" max="3116" width="20.625" style="121" customWidth="1"/>
    <col min="3117" max="3117" width="2.25" style="121" bestFit="1" customWidth="1"/>
    <col min="3118" max="3118" width="20.625" style="121" customWidth="1"/>
    <col min="3119" max="3119" width="2.25" style="121" bestFit="1" customWidth="1"/>
    <col min="3120" max="3120" width="20.625" style="121" customWidth="1"/>
    <col min="3121" max="3121" width="2.25" style="121" bestFit="1" customWidth="1"/>
    <col min="3122" max="3122" width="20.625" style="121" customWidth="1"/>
    <col min="3123" max="3328" width="9" style="121"/>
    <col min="3329" max="3329" width="15.625" style="121" customWidth="1"/>
    <col min="3330" max="3353" width="0" style="121" hidden="1" customWidth="1"/>
    <col min="3354" max="3354" width="3.625" style="121" customWidth="1"/>
    <col min="3355" max="3355" width="8.25" style="121" bestFit="1" customWidth="1"/>
    <col min="3356" max="3356" width="20.625" style="121" customWidth="1"/>
    <col min="3357" max="3357" width="2.25" style="121" bestFit="1" customWidth="1"/>
    <col min="3358" max="3358" width="20.625" style="121" customWidth="1"/>
    <col min="3359" max="3359" width="2.25" style="121" bestFit="1" customWidth="1"/>
    <col min="3360" max="3360" width="20.625" style="121" customWidth="1"/>
    <col min="3361" max="3361" width="2.25" style="121" bestFit="1" customWidth="1"/>
    <col min="3362" max="3362" width="20.625" style="121" customWidth="1"/>
    <col min="3363" max="3363" width="2.25" style="121" bestFit="1" customWidth="1"/>
    <col min="3364" max="3364" width="20.625" style="121" customWidth="1"/>
    <col min="3365" max="3365" width="2.25" style="121" bestFit="1" customWidth="1"/>
    <col min="3366" max="3366" width="20.625" style="121" customWidth="1"/>
    <col min="3367" max="3367" width="2.25" style="121" bestFit="1" customWidth="1"/>
    <col min="3368" max="3368" width="20.625" style="121" customWidth="1"/>
    <col min="3369" max="3369" width="2.25" style="121" bestFit="1" customWidth="1"/>
    <col min="3370" max="3370" width="20.625" style="121" customWidth="1"/>
    <col min="3371" max="3371" width="2.25" style="121" bestFit="1" customWidth="1"/>
    <col min="3372" max="3372" width="20.625" style="121" customWidth="1"/>
    <col min="3373" max="3373" width="2.25" style="121" bestFit="1" customWidth="1"/>
    <col min="3374" max="3374" width="20.625" style="121" customWidth="1"/>
    <col min="3375" max="3375" width="2.25" style="121" bestFit="1" customWidth="1"/>
    <col min="3376" max="3376" width="20.625" style="121" customWidth="1"/>
    <col min="3377" max="3377" width="2.25" style="121" bestFit="1" customWidth="1"/>
    <col min="3378" max="3378" width="20.625" style="121" customWidth="1"/>
    <col min="3379" max="3584" width="9" style="121"/>
    <col min="3585" max="3585" width="15.625" style="121" customWidth="1"/>
    <col min="3586" max="3609" width="0" style="121" hidden="1" customWidth="1"/>
    <col min="3610" max="3610" width="3.625" style="121" customWidth="1"/>
    <col min="3611" max="3611" width="8.25" style="121" bestFit="1" customWidth="1"/>
    <col min="3612" max="3612" width="20.625" style="121" customWidth="1"/>
    <col min="3613" max="3613" width="2.25" style="121" bestFit="1" customWidth="1"/>
    <col min="3614" max="3614" width="20.625" style="121" customWidth="1"/>
    <col min="3615" max="3615" width="2.25" style="121" bestFit="1" customWidth="1"/>
    <col min="3616" max="3616" width="20.625" style="121" customWidth="1"/>
    <col min="3617" max="3617" width="2.25" style="121" bestFit="1" customWidth="1"/>
    <col min="3618" max="3618" width="20.625" style="121" customWidth="1"/>
    <col min="3619" max="3619" width="2.25" style="121" bestFit="1" customWidth="1"/>
    <col min="3620" max="3620" width="20.625" style="121" customWidth="1"/>
    <col min="3621" max="3621" width="2.25" style="121" bestFit="1" customWidth="1"/>
    <col min="3622" max="3622" width="20.625" style="121" customWidth="1"/>
    <col min="3623" max="3623" width="2.25" style="121" bestFit="1" customWidth="1"/>
    <col min="3624" max="3624" width="20.625" style="121" customWidth="1"/>
    <col min="3625" max="3625" width="2.25" style="121" bestFit="1" customWidth="1"/>
    <col min="3626" max="3626" width="20.625" style="121" customWidth="1"/>
    <col min="3627" max="3627" width="2.25" style="121" bestFit="1" customWidth="1"/>
    <col min="3628" max="3628" width="20.625" style="121" customWidth="1"/>
    <col min="3629" max="3629" width="2.25" style="121" bestFit="1" customWidth="1"/>
    <col min="3630" max="3630" width="20.625" style="121" customWidth="1"/>
    <col min="3631" max="3631" width="2.25" style="121" bestFit="1" customWidth="1"/>
    <col min="3632" max="3632" width="20.625" style="121" customWidth="1"/>
    <col min="3633" max="3633" width="2.25" style="121" bestFit="1" customWidth="1"/>
    <col min="3634" max="3634" width="20.625" style="121" customWidth="1"/>
    <col min="3635" max="3840" width="9" style="121"/>
    <col min="3841" max="3841" width="15.625" style="121" customWidth="1"/>
    <col min="3842" max="3865" width="0" style="121" hidden="1" customWidth="1"/>
    <col min="3866" max="3866" width="3.625" style="121" customWidth="1"/>
    <col min="3867" max="3867" width="8.25" style="121" bestFit="1" customWidth="1"/>
    <col min="3868" max="3868" width="20.625" style="121" customWidth="1"/>
    <col min="3869" max="3869" width="2.25" style="121" bestFit="1" customWidth="1"/>
    <col min="3870" max="3870" width="20.625" style="121" customWidth="1"/>
    <col min="3871" max="3871" width="2.25" style="121" bestFit="1" customWidth="1"/>
    <col min="3872" max="3872" width="20.625" style="121" customWidth="1"/>
    <col min="3873" max="3873" width="2.25" style="121" bestFit="1" customWidth="1"/>
    <col min="3874" max="3874" width="20.625" style="121" customWidth="1"/>
    <col min="3875" max="3875" width="2.25" style="121" bestFit="1" customWidth="1"/>
    <col min="3876" max="3876" width="20.625" style="121" customWidth="1"/>
    <col min="3877" max="3877" width="2.25" style="121" bestFit="1" customWidth="1"/>
    <col min="3878" max="3878" width="20.625" style="121" customWidth="1"/>
    <col min="3879" max="3879" width="2.25" style="121" bestFit="1" customWidth="1"/>
    <col min="3880" max="3880" width="20.625" style="121" customWidth="1"/>
    <col min="3881" max="3881" width="2.25" style="121" bestFit="1" customWidth="1"/>
    <col min="3882" max="3882" width="20.625" style="121" customWidth="1"/>
    <col min="3883" max="3883" width="2.25" style="121" bestFit="1" customWidth="1"/>
    <col min="3884" max="3884" width="20.625" style="121" customWidth="1"/>
    <col min="3885" max="3885" width="2.25" style="121" bestFit="1" customWidth="1"/>
    <col min="3886" max="3886" width="20.625" style="121" customWidth="1"/>
    <col min="3887" max="3887" width="2.25" style="121" bestFit="1" customWidth="1"/>
    <col min="3888" max="3888" width="20.625" style="121" customWidth="1"/>
    <col min="3889" max="3889" width="2.25" style="121" bestFit="1" customWidth="1"/>
    <col min="3890" max="3890" width="20.625" style="121" customWidth="1"/>
    <col min="3891" max="4096" width="9" style="121"/>
    <col min="4097" max="4097" width="15.625" style="121" customWidth="1"/>
    <col min="4098" max="4121" width="0" style="121" hidden="1" customWidth="1"/>
    <col min="4122" max="4122" width="3.625" style="121" customWidth="1"/>
    <col min="4123" max="4123" width="8.25" style="121" bestFit="1" customWidth="1"/>
    <col min="4124" max="4124" width="20.625" style="121" customWidth="1"/>
    <col min="4125" max="4125" width="2.25" style="121" bestFit="1" customWidth="1"/>
    <col min="4126" max="4126" width="20.625" style="121" customWidth="1"/>
    <col min="4127" max="4127" width="2.25" style="121" bestFit="1" customWidth="1"/>
    <col min="4128" max="4128" width="20.625" style="121" customWidth="1"/>
    <col min="4129" max="4129" width="2.25" style="121" bestFit="1" customWidth="1"/>
    <col min="4130" max="4130" width="20.625" style="121" customWidth="1"/>
    <col min="4131" max="4131" width="2.25" style="121" bestFit="1" customWidth="1"/>
    <col min="4132" max="4132" width="20.625" style="121" customWidth="1"/>
    <col min="4133" max="4133" width="2.25" style="121" bestFit="1" customWidth="1"/>
    <col min="4134" max="4134" width="20.625" style="121" customWidth="1"/>
    <col min="4135" max="4135" width="2.25" style="121" bestFit="1" customWidth="1"/>
    <col min="4136" max="4136" width="20.625" style="121" customWidth="1"/>
    <col min="4137" max="4137" width="2.25" style="121" bestFit="1" customWidth="1"/>
    <col min="4138" max="4138" width="20.625" style="121" customWidth="1"/>
    <col min="4139" max="4139" width="2.25" style="121" bestFit="1" customWidth="1"/>
    <col min="4140" max="4140" width="20.625" style="121" customWidth="1"/>
    <col min="4141" max="4141" width="2.25" style="121" bestFit="1" customWidth="1"/>
    <col min="4142" max="4142" width="20.625" style="121" customWidth="1"/>
    <col min="4143" max="4143" width="2.25" style="121" bestFit="1" customWidth="1"/>
    <col min="4144" max="4144" width="20.625" style="121" customWidth="1"/>
    <col min="4145" max="4145" width="2.25" style="121" bestFit="1" customWidth="1"/>
    <col min="4146" max="4146" width="20.625" style="121" customWidth="1"/>
    <col min="4147" max="4352" width="9" style="121"/>
    <col min="4353" max="4353" width="15.625" style="121" customWidth="1"/>
    <col min="4354" max="4377" width="0" style="121" hidden="1" customWidth="1"/>
    <col min="4378" max="4378" width="3.625" style="121" customWidth="1"/>
    <col min="4379" max="4379" width="8.25" style="121" bestFit="1" customWidth="1"/>
    <col min="4380" max="4380" width="20.625" style="121" customWidth="1"/>
    <col min="4381" max="4381" width="2.25" style="121" bestFit="1" customWidth="1"/>
    <col min="4382" max="4382" width="20.625" style="121" customWidth="1"/>
    <col min="4383" max="4383" width="2.25" style="121" bestFit="1" customWidth="1"/>
    <col min="4384" max="4384" width="20.625" style="121" customWidth="1"/>
    <col min="4385" max="4385" width="2.25" style="121" bestFit="1" customWidth="1"/>
    <col min="4386" max="4386" width="20.625" style="121" customWidth="1"/>
    <col min="4387" max="4387" width="2.25" style="121" bestFit="1" customWidth="1"/>
    <col min="4388" max="4388" width="20.625" style="121" customWidth="1"/>
    <col min="4389" max="4389" width="2.25" style="121" bestFit="1" customWidth="1"/>
    <col min="4390" max="4390" width="20.625" style="121" customWidth="1"/>
    <col min="4391" max="4391" width="2.25" style="121" bestFit="1" customWidth="1"/>
    <col min="4392" max="4392" width="20.625" style="121" customWidth="1"/>
    <col min="4393" max="4393" width="2.25" style="121" bestFit="1" customWidth="1"/>
    <col min="4394" max="4394" width="20.625" style="121" customWidth="1"/>
    <col min="4395" max="4395" width="2.25" style="121" bestFit="1" customWidth="1"/>
    <col min="4396" max="4396" width="20.625" style="121" customWidth="1"/>
    <col min="4397" max="4397" width="2.25" style="121" bestFit="1" customWidth="1"/>
    <col min="4398" max="4398" width="20.625" style="121" customWidth="1"/>
    <col min="4399" max="4399" width="2.25" style="121" bestFit="1" customWidth="1"/>
    <col min="4400" max="4400" width="20.625" style="121" customWidth="1"/>
    <col min="4401" max="4401" width="2.25" style="121" bestFit="1" customWidth="1"/>
    <col min="4402" max="4402" width="20.625" style="121" customWidth="1"/>
    <col min="4403" max="4608" width="9" style="121"/>
    <col min="4609" max="4609" width="15.625" style="121" customWidth="1"/>
    <col min="4610" max="4633" width="0" style="121" hidden="1" customWidth="1"/>
    <col min="4634" max="4634" width="3.625" style="121" customWidth="1"/>
    <col min="4635" max="4635" width="8.25" style="121" bestFit="1" customWidth="1"/>
    <col min="4636" max="4636" width="20.625" style="121" customWidth="1"/>
    <col min="4637" max="4637" width="2.25" style="121" bestFit="1" customWidth="1"/>
    <col min="4638" max="4638" width="20.625" style="121" customWidth="1"/>
    <col min="4639" max="4639" width="2.25" style="121" bestFit="1" customWidth="1"/>
    <col min="4640" max="4640" width="20.625" style="121" customWidth="1"/>
    <col min="4641" max="4641" width="2.25" style="121" bestFit="1" customWidth="1"/>
    <col min="4642" max="4642" width="20.625" style="121" customWidth="1"/>
    <col min="4643" max="4643" width="2.25" style="121" bestFit="1" customWidth="1"/>
    <col min="4644" max="4644" width="20.625" style="121" customWidth="1"/>
    <col min="4645" max="4645" width="2.25" style="121" bestFit="1" customWidth="1"/>
    <col min="4646" max="4646" width="20.625" style="121" customWidth="1"/>
    <col min="4647" max="4647" width="2.25" style="121" bestFit="1" customWidth="1"/>
    <col min="4648" max="4648" width="20.625" style="121" customWidth="1"/>
    <col min="4649" max="4649" width="2.25" style="121" bestFit="1" customWidth="1"/>
    <col min="4650" max="4650" width="20.625" style="121" customWidth="1"/>
    <col min="4651" max="4651" width="2.25" style="121" bestFit="1" customWidth="1"/>
    <col min="4652" max="4652" width="20.625" style="121" customWidth="1"/>
    <col min="4653" max="4653" width="2.25" style="121" bestFit="1" customWidth="1"/>
    <col min="4654" max="4654" width="20.625" style="121" customWidth="1"/>
    <col min="4655" max="4655" width="2.25" style="121" bestFit="1" customWidth="1"/>
    <col min="4656" max="4656" width="20.625" style="121" customWidth="1"/>
    <col min="4657" max="4657" width="2.25" style="121" bestFit="1" customWidth="1"/>
    <col min="4658" max="4658" width="20.625" style="121" customWidth="1"/>
    <col min="4659" max="4864" width="9" style="121"/>
    <col min="4865" max="4865" width="15.625" style="121" customWidth="1"/>
    <col min="4866" max="4889" width="0" style="121" hidden="1" customWidth="1"/>
    <col min="4890" max="4890" width="3.625" style="121" customWidth="1"/>
    <col min="4891" max="4891" width="8.25" style="121" bestFit="1" customWidth="1"/>
    <col min="4892" max="4892" width="20.625" style="121" customWidth="1"/>
    <col min="4893" max="4893" width="2.25" style="121" bestFit="1" customWidth="1"/>
    <col min="4894" max="4894" width="20.625" style="121" customWidth="1"/>
    <col min="4895" max="4895" width="2.25" style="121" bestFit="1" customWidth="1"/>
    <col min="4896" max="4896" width="20.625" style="121" customWidth="1"/>
    <col min="4897" max="4897" width="2.25" style="121" bestFit="1" customWidth="1"/>
    <col min="4898" max="4898" width="20.625" style="121" customWidth="1"/>
    <col min="4899" max="4899" width="2.25" style="121" bestFit="1" customWidth="1"/>
    <col min="4900" max="4900" width="20.625" style="121" customWidth="1"/>
    <col min="4901" max="4901" width="2.25" style="121" bestFit="1" customWidth="1"/>
    <col min="4902" max="4902" width="20.625" style="121" customWidth="1"/>
    <col min="4903" max="4903" width="2.25" style="121" bestFit="1" customWidth="1"/>
    <col min="4904" max="4904" width="20.625" style="121" customWidth="1"/>
    <col min="4905" max="4905" width="2.25" style="121" bestFit="1" customWidth="1"/>
    <col min="4906" max="4906" width="20.625" style="121" customWidth="1"/>
    <col min="4907" max="4907" width="2.25" style="121" bestFit="1" customWidth="1"/>
    <col min="4908" max="4908" width="20.625" style="121" customWidth="1"/>
    <col min="4909" max="4909" width="2.25" style="121" bestFit="1" customWidth="1"/>
    <col min="4910" max="4910" width="20.625" style="121" customWidth="1"/>
    <col min="4911" max="4911" width="2.25" style="121" bestFit="1" customWidth="1"/>
    <col min="4912" max="4912" width="20.625" style="121" customWidth="1"/>
    <col min="4913" max="4913" width="2.25" style="121" bestFit="1" customWidth="1"/>
    <col min="4914" max="4914" width="20.625" style="121" customWidth="1"/>
    <col min="4915" max="5120" width="9" style="121"/>
    <col min="5121" max="5121" width="15.625" style="121" customWidth="1"/>
    <col min="5122" max="5145" width="0" style="121" hidden="1" customWidth="1"/>
    <col min="5146" max="5146" width="3.625" style="121" customWidth="1"/>
    <col min="5147" max="5147" width="8.25" style="121" bestFit="1" customWidth="1"/>
    <col min="5148" max="5148" width="20.625" style="121" customWidth="1"/>
    <col min="5149" max="5149" width="2.25" style="121" bestFit="1" customWidth="1"/>
    <col min="5150" max="5150" width="20.625" style="121" customWidth="1"/>
    <col min="5151" max="5151" width="2.25" style="121" bestFit="1" customWidth="1"/>
    <col min="5152" max="5152" width="20.625" style="121" customWidth="1"/>
    <col min="5153" max="5153" width="2.25" style="121" bestFit="1" customWidth="1"/>
    <col min="5154" max="5154" width="20.625" style="121" customWidth="1"/>
    <col min="5155" max="5155" width="2.25" style="121" bestFit="1" customWidth="1"/>
    <col min="5156" max="5156" width="20.625" style="121" customWidth="1"/>
    <col min="5157" max="5157" width="2.25" style="121" bestFit="1" customWidth="1"/>
    <col min="5158" max="5158" width="20.625" style="121" customWidth="1"/>
    <col min="5159" max="5159" width="2.25" style="121" bestFit="1" customWidth="1"/>
    <col min="5160" max="5160" width="20.625" style="121" customWidth="1"/>
    <col min="5161" max="5161" width="2.25" style="121" bestFit="1" customWidth="1"/>
    <col min="5162" max="5162" width="20.625" style="121" customWidth="1"/>
    <col min="5163" max="5163" width="2.25" style="121" bestFit="1" customWidth="1"/>
    <col min="5164" max="5164" width="20.625" style="121" customWidth="1"/>
    <col min="5165" max="5165" width="2.25" style="121" bestFit="1" customWidth="1"/>
    <col min="5166" max="5166" width="20.625" style="121" customWidth="1"/>
    <col min="5167" max="5167" width="2.25" style="121" bestFit="1" customWidth="1"/>
    <col min="5168" max="5168" width="20.625" style="121" customWidth="1"/>
    <col min="5169" max="5169" width="2.25" style="121" bestFit="1" customWidth="1"/>
    <col min="5170" max="5170" width="20.625" style="121" customWidth="1"/>
    <col min="5171" max="5376" width="9" style="121"/>
    <col min="5377" max="5377" width="15.625" style="121" customWidth="1"/>
    <col min="5378" max="5401" width="0" style="121" hidden="1" customWidth="1"/>
    <col min="5402" max="5402" width="3.625" style="121" customWidth="1"/>
    <col min="5403" max="5403" width="8.25" style="121" bestFit="1" customWidth="1"/>
    <col min="5404" max="5404" width="20.625" style="121" customWidth="1"/>
    <col min="5405" max="5405" width="2.25" style="121" bestFit="1" customWidth="1"/>
    <col min="5406" max="5406" width="20.625" style="121" customWidth="1"/>
    <col min="5407" max="5407" width="2.25" style="121" bestFit="1" customWidth="1"/>
    <col min="5408" max="5408" width="20.625" style="121" customWidth="1"/>
    <col min="5409" max="5409" width="2.25" style="121" bestFit="1" customWidth="1"/>
    <col min="5410" max="5410" width="20.625" style="121" customWidth="1"/>
    <col min="5411" max="5411" width="2.25" style="121" bestFit="1" customWidth="1"/>
    <col min="5412" max="5412" width="20.625" style="121" customWidth="1"/>
    <col min="5413" max="5413" width="2.25" style="121" bestFit="1" customWidth="1"/>
    <col min="5414" max="5414" width="20.625" style="121" customWidth="1"/>
    <col min="5415" max="5415" width="2.25" style="121" bestFit="1" customWidth="1"/>
    <col min="5416" max="5416" width="20.625" style="121" customWidth="1"/>
    <col min="5417" max="5417" width="2.25" style="121" bestFit="1" customWidth="1"/>
    <col min="5418" max="5418" width="20.625" style="121" customWidth="1"/>
    <col min="5419" max="5419" width="2.25" style="121" bestFit="1" customWidth="1"/>
    <col min="5420" max="5420" width="20.625" style="121" customWidth="1"/>
    <col min="5421" max="5421" width="2.25" style="121" bestFit="1" customWidth="1"/>
    <col min="5422" max="5422" width="20.625" style="121" customWidth="1"/>
    <col min="5423" max="5423" width="2.25" style="121" bestFit="1" customWidth="1"/>
    <col min="5424" max="5424" width="20.625" style="121" customWidth="1"/>
    <col min="5425" max="5425" width="2.25" style="121" bestFit="1" customWidth="1"/>
    <col min="5426" max="5426" width="20.625" style="121" customWidth="1"/>
    <col min="5427" max="5632" width="9" style="121"/>
    <col min="5633" max="5633" width="15.625" style="121" customWidth="1"/>
    <col min="5634" max="5657" width="0" style="121" hidden="1" customWidth="1"/>
    <col min="5658" max="5658" width="3.625" style="121" customWidth="1"/>
    <col min="5659" max="5659" width="8.25" style="121" bestFit="1" customWidth="1"/>
    <col min="5660" max="5660" width="20.625" style="121" customWidth="1"/>
    <col min="5661" max="5661" width="2.25" style="121" bestFit="1" customWidth="1"/>
    <col min="5662" max="5662" width="20.625" style="121" customWidth="1"/>
    <col min="5663" max="5663" width="2.25" style="121" bestFit="1" customWidth="1"/>
    <col min="5664" max="5664" width="20.625" style="121" customWidth="1"/>
    <col min="5665" max="5665" width="2.25" style="121" bestFit="1" customWidth="1"/>
    <col min="5666" max="5666" width="20.625" style="121" customWidth="1"/>
    <col min="5667" max="5667" width="2.25" style="121" bestFit="1" customWidth="1"/>
    <col min="5668" max="5668" width="20.625" style="121" customWidth="1"/>
    <col min="5669" max="5669" width="2.25" style="121" bestFit="1" customWidth="1"/>
    <col min="5670" max="5670" width="20.625" style="121" customWidth="1"/>
    <col min="5671" max="5671" width="2.25" style="121" bestFit="1" customWidth="1"/>
    <col min="5672" max="5672" width="20.625" style="121" customWidth="1"/>
    <col min="5673" max="5673" width="2.25" style="121" bestFit="1" customWidth="1"/>
    <col min="5674" max="5674" width="20.625" style="121" customWidth="1"/>
    <col min="5675" max="5675" width="2.25" style="121" bestFit="1" customWidth="1"/>
    <col min="5676" max="5676" width="20.625" style="121" customWidth="1"/>
    <col min="5677" max="5677" width="2.25" style="121" bestFit="1" customWidth="1"/>
    <col min="5678" max="5678" width="20.625" style="121" customWidth="1"/>
    <col min="5679" max="5679" width="2.25" style="121" bestFit="1" customWidth="1"/>
    <col min="5680" max="5680" width="20.625" style="121" customWidth="1"/>
    <col min="5681" max="5681" width="2.25" style="121" bestFit="1" customWidth="1"/>
    <col min="5682" max="5682" width="20.625" style="121" customWidth="1"/>
    <col min="5683" max="5888" width="9" style="121"/>
    <col min="5889" max="5889" width="15.625" style="121" customWidth="1"/>
    <col min="5890" max="5913" width="0" style="121" hidden="1" customWidth="1"/>
    <col min="5914" max="5914" width="3.625" style="121" customWidth="1"/>
    <col min="5915" max="5915" width="8.25" style="121" bestFit="1" customWidth="1"/>
    <col min="5916" max="5916" width="20.625" style="121" customWidth="1"/>
    <col min="5917" max="5917" width="2.25" style="121" bestFit="1" customWidth="1"/>
    <col min="5918" max="5918" width="20.625" style="121" customWidth="1"/>
    <col min="5919" max="5919" width="2.25" style="121" bestFit="1" customWidth="1"/>
    <col min="5920" max="5920" width="20.625" style="121" customWidth="1"/>
    <col min="5921" max="5921" width="2.25" style="121" bestFit="1" customWidth="1"/>
    <col min="5922" max="5922" width="20.625" style="121" customWidth="1"/>
    <col min="5923" max="5923" width="2.25" style="121" bestFit="1" customWidth="1"/>
    <col min="5924" max="5924" width="20.625" style="121" customWidth="1"/>
    <col min="5925" max="5925" width="2.25" style="121" bestFit="1" customWidth="1"/>
    <col min="5926" max="5926" width="20.625" style="121" customWidth="1"/>
    <col min="5927" max="5927" width="2.25" style="121" bestFit="1" customWidth="1"/>
    <col min="5928" max="5928" width="20.625" style="121" customWidth="1"/>
    <col min="5929" max="5929" width="2.25" style="121" bestFit="1" customWidth="1"/>
    <col min="5930" max="5930" width="20.625" style="121" customWidth="1"/>
    <col min="5931" max="5931" width="2.25" style="121" bestFit="1" customWidth="1"/>
    <col min="5932" max="5932" width="20.625" style="121" customWidth="1"/>
    <col min="5933" max="5933" width="2.25" style="121" bestFit="1" customWidth="1"/>
    <col min="5934" max="5934" width="20.625" style="121" customWidth="1"/>
    <col min="5935" max="5935" width="2.25" style="121" bestFit="1" customWidth="1"/>
    <col min="5936" max="5936" width="20.625" style="121" customWidth="1"/>
    <col min="5937" max="5937" width="2.25" style="121" bestFit="1" customWidth="1"/>
    <col min="5938" max="5938" width="20.625" style="121" customWidth="1"/>
    <col min="5939" max="6144" width="9" style="121"/>
    <col min="6145" max="6145" width="15.625" style="121" customWidth="1"/>
    <col min="6146" max="6169" width="0" style="121" hidden="1" customWidth="1"/>
    <col min="6170" max="6170" width="3.625" style="121" customWidth="1"/>
    <col min="6171" max="6171" width="8.25" style="121" bestFit="1" customWidth="1"/>
    <col min="6172" max="6172" width="20.625" style="121" customWidth="1"/>
    <col min="6173" max="6173" width="2.25" style="121" bestFit="1" customWidth="1"/>
    <col min="6174" max="6174" width="20.625" style="121" customWidth="1"/>
    <col min="6175" max="6175" width="2.25" style="121" bestFit="1" customWidth="1"/>
    <col min="6176" max="6176" width="20.625" style="121" customWidth="1"/>
    <col min="6177" max="6177" width="2.25" style="121" bestFit="1" customWidth="1"/>
    <col min="6178" max="6178" width="20.625" style="121" customWidth="1"/>
    <col min="6179" max="6179" width="2.25" style="121" bestFit="1" customWidth="1"/>
    <col min="6180" max="6180" width="20.625" style="121" customWidth="1"/>
    <col min="6181" max="6181" width="2.25" style="121" bestFit="1" customWidth="1"/>
    <col min="6182" max="6182" width="20.625" style="121" customWidth="1"/>
    <col min="6183" max="6183" width="2.25" style="121" bestFit="1" customWidth="1"/>
    <col min="6184" max="6184" width="20.625" style="121" customWidth="1"/>
    <col min="6185" max="6185" width="2.25" style="121" bestFit="1" customWidth="1"/>
    <col min="6186" max="6186" width="20.625" style="121" customWidth="1"/>
    <col min="6187" max="6187" width="2.25" style="121" bestFit="1" customWidth="1"/>
    <col min="6188" max="6188" width="20.625" style="121" customWidth="1"/>
    <col min="6189" max="6189" width="2.25" style="121" bestFit="1" customWidth="1"/>
    <col min="6190" max="6190" width="20.625" style="121" customWidth="1"/>
    <col min="6191" max="6191" width="2.25" style="121" bestFit="1" customWidth="1"/>
    <col min="6192" max="6192" width="20.625" style="121" customWidth="1"/>
    <col min="6193" max="6193" width="2.25" style="121" bestFit="1" customWidth="1"/>
    <col min="6194" max="6194" width="20.625" style="121" customWidth="1"/>
    <col min="6195" max="6400" width="9" style="121"/>
    <col min="6401" max="6401" width="15.625" style="121" customWidth="1"/>
    <col min="6402" max="6425" width="0" style="121" hidden="1" customWidth="1"/>
    <col min="6426" max="6426" width="3.625" style="121" customWidth="1"/>
    <col min="6427" max="6427" width="8.25" style="121" bestFit="1" customWidth="1"/>
    <col min="6428" max="6428" width="20.625" style="121" customWidth="1"/>
    <col min="6429" max="6429" width="2.25" style="121" bestFit="1" customWidth="1"/>
    <col min="6430" max="6430" width="20.625" style="121" customWidth="1"/>
    <col min="6431" max="6431" width="2.25" style="121" bestFit="1" customWidth="1"/>
    <col min="6432" max="6432" width="20.625" style="121" customWidth="1"/>
    <col min="6433" max="6433" width="2.25" style="121" bestFit="1" customWidth="1"/>
    <col min="6434" max="6434" width="20.625" style="121" customWidth="1"/>
    <col min="6435" max="6435" width="2.25" style="121" bestFit="1" customWidth="1"/>
    <col min="6436" max="6436" width="20.625" style="121" customWidth="1"/>
    <col min="6437" max="6437" width="2.25" style="121" bestFit="1" customWidth="1"/>
    <col min="6438" max="6438" width="20.625" style="121" customWidth="1"/>
    <col min="6439" max="6439" width="2.25" style="121" bestFit="1" customWidth="1"/>
    <col min="6440" max="6440" width="20.625" style="121" customWidth="1"/>
    <col min="6441" max="6441" width="2.25" style="121" bestFit="1" customWidth="1"/>
    <col min="6442" max="6442" width="20.625" style="121" customWidth="1"/>
    <col min="6443" max="6443" width="2.25" style="121" bestFit="1" customWidth="1"/>
    <col min="6444" max="6444" width="20.625" style="121" customWidth="1"/>
    <col min="6445" max="6445" width="2.25" style="121" bestFit="1" customWidth="1"/>
    <col min="6446" max="6446" width="20.625" style="121" customWidth="1"/>
    <col min="6447" max="6447" width="2.25" style="121" bestFit="1" customWidth="1"/>
    <col min="6448" max="6448" width="20.625" style="121" customWidth="1"/>
    <col min="6449" max="6449" width="2.25" style="121" bestFit="1" customWidth="1"/>
    <col min="6450" max="6450" width="20.625" style="121" customWidth="1"/>
    <col min="6451" max="6656" width="9" style="121"/>
    <col min="6657" max="6657" width="15.625" style="121" customWidth="1"/>
    <col min="6658" max="6681" width="0" style="121" hidden="1" customWidth="1"/>
    <col min="6682" max="6682" width="3.625" style="121" customWidth="1"/>
    <col min="6683" max="6683" width="8.25" style="121" bestFit="1" customWidth="1"/>
    <col min="6684" max="6684" width="20.625" style="121" customWidth="1"/>
    <col min="6685" max="6685" width="2.25" style="121" bestFit="1" customWidth="1"/>
    <col min="6686" max="6686" width="20.625" style="121" customWidth="1"/>
    <col min="6687" max="6687" width="2.25" style="121" bestFit="1" customWidth="1"/>
    <col min="6688" max="6688" width="20.625" style="121" customWidth="1"/>
    <col min="6689" max="6689" width="2.25" style="121" bestFit="1" customWidth="1"/>
    <col min="6690" max="6690" width="20.625" style="121" customWidth="1"/>
    <col min="6691" max="6691" width="2.25" style="121" bestFit="1" customWidth="1"/>
    <col min="6692" max="6692" width="20.625" style="121" customWidth="1"/>
    <col min="6693" max="6693" width="2.25" style="121" bestFit="1" customWidth="1"/>
    <col min="6694" max="6694" width="20.625" style="121" customWidth="1"/>
    <col min="6695" max="6695" width="2.25" style="121" bestFit="1" customWidth="1"/>
    <col min="6696" max="6696" width="20.625" style="121" customWidth="1"/>
    <col min="6697" max="6697" width="2.25" style="121" bestFit="1" customWidth="1"/>
    <col min="6698" max="6698" width="20.625" style="121" customWidth="1"/>
    <col min="6699" max="6699" width="2.25" style="121" bestFit="1" customWidth="1"/>
    <col min="6700" max="6700" width="20.625" style="121" customWidth="1"/>
    <col min="6701" max="6701" width="2.25" style="121" bestFit="1" customWidth="1"/>
    <col min="6702" max="6702" width="20.625" style="121" customWidth="1"/>
    <col min="6703" max="6703" width="2.25" style="121" bestFit="1" customWidth="1"/>
    <col min="6704" max="6704" width="20.625" style="121" customWidth="1"/>
    <col min="6705" max="6705" width="2.25" style="121" bestFit="1" customWidth="1"/>
    <col min="6706" max="6706" width="20.625" style="121" customWidth="1"/>
    <col min="6707" max="6912" width="9" style="121"/>
    <col min="6913" max="6913" width="15.625" style="121" customWidth="1"/>
    <col min="6914" max="6937" width="0" style="121" hidden="1" customWidth="1"/>
    <col min="6938" max="6938" width="3.625" style="121" customWidth="1"/>
    <col min="6939" max="6939" width="8.25" style="121" bestFit="1" customWidth="1"/>
    <col min="6940" max="6940" width="20.625" style="121" customWidth="1"/>
    <col min="6941" max="6941" width="2.25" style="121" bestFit="1" customWidth="1"/>
    <col min="6942" max="6942" width="20.625" style="121" customWidth="1"/>
    <col min="6943" max="6943" width="2.25" style="121" bestFit="1" customWidth="1"/>
    <col min="6944" max="6944" width="20.625" style="121" customWidth="1"/>
    <col min="6945" max="6945" width="2.25" style="121" bestFit="1" customWidth="1"/>
    <col min="6946" max="6946" width="20.625" style="121" customWidth="1"/>
    <col min="6947" max="6947" width="2.25" style="121" bestFit="1" customWidth="1"/>
    <col min="6948" max="6948" width="20.625" style="121" customWidth="1"/>
    <col min="6949" max="6949" width="2.25" style="121" bestFit="1" customWidth="1"/>
    <col min="6950" max="6950" width="20.625" style="121" customWidth="1"/>
    <col min="6951" max="6951" width="2.25" style="121" bestFit="1" customWidth="1"/>
    <col min="6952" max="6952" width="20.625" style="121" customWidth="1"/>
    <col min="6953" max="6953" width="2.25" style="121" bestFit="1" customWidth="1"/>
    <col min="6954" max="6954" width="20.625" style="121" customWidth="1"/>
    <col min="6955" max="6955" width="2.25" style="121" bestFit="1" customWidth="1"/>
    <col min="6956" max="6956" width="20.625" style="121" customWidth="1"/>
    <col min="6957" max="6957" width="2.25" style="121" bestFit="1" customWidth="1"/>
    <col min="6958" max="6958" width="20.625" style="121" customWidth="1"/>
    <col min="6959" max="6959" width="2.25" style="121" bestFit="1" customWidth="1"/>
    <col min="6960" max="6960" width="20.625" style="121" customWidth="1"/>
    <col min="6961" max="6961" width="2.25" style="121" bestFit="1" customWidth="1"/>
    <col min="6962" max="6962" width="20.625" style="121" customWidth="1"/>
    <col min="6963" max="7168" width="9" style="121"/>
    <col min="7169" max="7169" width="15.625" style="121" customWidth="1"/>
    <col min="7170" max="7193" width="0" style="121" hidden="1" customWidth="1"/>
    <col min="7194" max="7194" width="3.625" style="121" customWidth="1"/>
    <col min="7195" max="7195" width="8.25" style="121" bestFit="1" customWidth="1"/>
    <col min="7196" max="7196" width="20.625" style="121" customWidth="1"/>
    <col min="7197" max="7197" width="2.25" style="121" bestFit="1" customWidth="1"/>
    <col min="7198" max="7198" width="20.625" style="121" customWidth="1"/>
    <col min="7199" max="7199" width="2.25" style="121" bestFit="1" customWidth="1"/>
    <col min="7200" max="7200" width="20.625" style="121" customWidth="1"/>
    <col min="7201" max="7201" width="2.25" style="121" bestFit="1" customWidth="1"/>
    <col min="7202" max="7202" width="20.625" style="121" customWidth="1"/>
    <col min="7203" max="7203" width="2.25" style="121" bestFit="1" customWidth="1"/>
    <col min="7204" max="7204" width="20.625" style="121" customWidth="1"/>
    <col min="7205" max="7205" width="2.25" style="121" bestFit="1" customWidth="1"/>
    <col min="7206" max="7206" width="20.625" style="121" customWidth="1"/>
    <col min="7207" max="7207" width="2.25" style="121" bestFit="1" customWidth="1"/>
    <col min="7208" max="7208" width="20.625" style="121" customWidth="1"/>
    <col min="7209" max="7209" width="2.25" style="121" bestFit="1" customWidth="1"/>
    <col min="7210" max="7210" width="20.625" style="121" customWidth="1"/>
    <col min="7211" max="7211" width="2.25" style="121" bestFit="1" customWidth="1"/>
    <col min="7212" max="7212" width="20.625" style="121" customWidth="1"/>
    <col min="7213" max="7213" width="2.25" style="121" bestFit="1" customWidth="1"/>
    <col min="7214" max="7214" width="20.625" style="121" customWidth="1"/>
    <col min="7215" max="7215" width="2.25" style="121" bestFit="1" customWidth="1"/>
    <col min="7216" max="7216" width="20.625" style="121" customWidth="1"/>
    <col min="7217" max="7217" width="2.25" style="121" bestFit="1" customWidth="1"/>
    <col min="7218" max="7218" width="20.625" style="121" customWidth="1"/>
    <col min="7219" max="7424" width="9" style="121"/>
    <col min="7425" max="7425" width="15.625" style="121" customWidth="1"/>
    <col min="7426" max="7449" width="0" style="121" hidden="1" customWidth="1"/>
    <col min="7450" max="7450" width="3.625" style="121" customWidth="1"/>
    <col min="7451" max="7451" width="8.25" style="121" bestFit="1" customWidth="1"/>
    <col min="7452" max="7452" width="20.625" style="121" customWidth="1"/>
    <col min="7453" max="7453" width="2.25" style="121" bestFit="1" customWidth="1"/>
    <col min="7454" max="7454" width="20.625" style="121" customWidth="1"/>
    <col min="7455" max="7455" width="2.25" style="121" bestFit="1" customWidth="1"/>
    <col min="7456" max="7456" width="20.625" style="121" customWidth="1"/>
    <col min="7457" max="7457" width="2.25" style="121" bestFit="1" customWidth="1"/>
    <col min="7458" max="7458" width="20.625" style="121" customWidth="1"/>
    <col min="7459" max="7459" width="2.25" style="121" bestFit="1" customWidth="1"/>
    <col min="7460" max="7460" width="20.625" style="121" customWidth="1"/>
    <col min="7461" max="7461" width="2.25" style="121" bestFit="1" customWidth="1"/>
    <col min="7462" max="7462" width="20.625" style="121" customWidth="1"/>
    <col min="7463" max="7463" width="2.25" style="121" bestFit="1" customWidth="1"/>
    <col min="7464" max="7464" width="20.625" style="121" customWidth="1"/>
    <col min="7465" max="7465" width="2.25" style="121" bestFit="1" customWidth="1"/>
    <col min="7466" max="7466" width="20.625" style="121" customWidth="1"/>
    <col min="7467" max="7467" width="2.25" style="121" bestFit="1" customWidth="1"/>
    <col min="7468" max="7468" width="20.625" style="121" customWidth="1"/>
    <col min="7469" max="7469" width="2.25" style="121" bestFit="1" customWidth="1"/>
    <col min="7470" max="7470" width="20.625" style="121" customWidth="1"/>
    <col min="7471" max="7471" width="2.25" style="121" bestFit="1" customWidth="1"/>
    <col min="7472" max="7472" width="20.625" style="121" customWidth="1"/>
    <col min="7473" max="7473" width="2.25" style="121" bestFit="1" customWidth="1"/>
    <col min="7474" max="7474" width="20.625" style="121" customWidth="1"/>
    <col min="7475" max="7680" width="9" style="121"/>
    <col min="7681" max="7681" width="15.625" style="121" customWidth="1"/>
    <col min="7682" max="7705" width="0" style="121" hidden="1" customWidth="1"/>
    <col min="7706" max="7706" width="3.625" style="121" customWidth="1"/>
    <col min="7707" max="7707" width="8.25" style="121" bestFit="1" customWidth="1"/>
    <col min="7708" max="7708" width="20.625" style="121" customWidth="1"/>
    <col min="7709" max="7709" width="2.25" style="121" bestFit="1" customWidth="1"/>
    <col min="7710" max="7710" width="20.625" style="121" customWidth="1"/>
    <col min="7711" max="7711" width="2.25" style="121" bestFit="1" customWidth="1"/>
    <col min="7712" max="7712" width="20.625" style="121" customWidth="1"/>
    <col min="7713" max="7713" width="2.25" style="121" bestFit="1" customWidth="1"/>
    <col min="7714" max="7714" width="20.625" style="121" customWidth="1"/>
    <col min="7715" max="7715" width="2.25" style="121" bestFit="1" customWidth="1"/>
    <col min="7716" max="7716" width="20.625" style="121" customWidth="1"/>
    <col min="7717" max="7717" width="2.25" style="121" bestFit="1" customWidth="1"/>
    <col min="7718" max="7718" width="20.625" style="121" customWidth="1"/>
    <col min="7719" max="7719" width="2.25" style="121" bestFit="1" customWidth="1"/>
    <col min="7720" max="7720" width="20.625" style="121" customWidth="1"/>
    <col min="7721" max="7721" width="2.25" style="121" bestFit="1" customWidth="1"/>
    <col min="7722" max="7722" width="20.625" style="121" customWidth="1"/>
    <col min="7723" max="7723" width="2.25" style="121" bestFit="1" customWidth="1"/>
    <col min="7724" max="7724" width="20.625" style="121" customWidth="1"/>
    <col min="7725" max="7725" width="2.25" style="121" bestFit="1" customWidth="1"/>
    <col min="7726" max="7726" width="20.625" style="121" customWidth="1"/>
    <col min="7727" max="7727" width="2.25" style="121" bestFit="1" customWidth="1"/>
    <col min="7728" max="7728" width="20.625" style="121" customWidth="1"/>
    <col min="7729" max="7729" width="2.25" style="121" bestFit="1" customWidth="1"/>
    <col min="7730" max="7730" width="20.625" style="121" customWidth="1"/>
    <col min="7731" max="7936" width="9" style="121"/>
    <col min="7937" max="7937" width="15.625" style="121" customWidth="1"/>
    <col min="7938" max="7961" width="0" style="121" hidden="1" customWidth="1"/>
    <col min="7962" max="7962" width="3.625" style="121" customWidth="1"/>
    <col min="7963" max="7963" width="8.25" style="121" bestFit="1" customWidth="1"/>
    <col min="7964" max="7964" width="20.625" style="121" customWidth="1"/>
    <col min="7965" max="7965" width="2.25" style="121" bestFit="1" customWidth="1"/>
    <col min="7966" max="7966" width="20.625" style="121" customWidth="1"/>
    <col min="7967" max="7967" width="2.25" style="121" bestFit="1" customWidth="1"/>
    <col min="7968" max="7968" width="20.625" style="121" customWidth="1"/>
    <col min="7969" max="7969" width="2.25" style="121" bestFit="1" customWidth="1"/>
    <col min="7970" max="7970" width="20.625" style="121" customWidth="1"/>
    <col min="7971" max="7971" width="2.25" style="121" bestFit="1" customWidth="1"/>
    <col min="7972" max="7972" width="20.625" style="121" customWidth="1"/>
    <col min="7973" max="7973" width="2.25" style="121" bestFit="1" customWidth="1"/>
    <col min="7974" max="7974" width="20.625" style="121" customWidth="1"/>
    <col min="7975" max="7975" width="2.25" style="121" bestFit="1" customWidth="1"/>
    <col min="7976" max="7976" width="20.625" style="121" customWidth="1"/>
    <col min="7977" max="7977" width="2.25" style="121" bestFit="1" customWidth="1"/>
    <col min="7978" max="7978" width="20.625" style="121" customWidth="1"/>
    <col min="7979" max="7979" width="2.25" style="121" bestFit="1" customWidth="1"/>
    <col min="7980" max="7980" width="20.625" style="121" customWidth="1"/>
    <col min="7981" max="7981" width="2.25" style="121" bestFit="1" customWidth="1"/>
    <col min="7982" max="7982" width="20.625" style="121" customWidth="1"/>
    <col min="7983" max="7983" width="2.25" style="121" bestFit="1" customWidth="1"/>
    <col min="7984" max="7984" width="20.625" style="121" customWidth="1"/>
    <col min="7985" max="7985" width="2.25" style="121" bestFit="1" customWidth="1"/>
    <col min="7986" max="7986" width="20.625" style="121" customWidth="1"/>
    <col min="7987" max="8192" width="9" style="121"/>
    <col min="8193" max="8193" width="15.625" style="121" customWidth="1"/>
    <col min="8194" max="8217" width="0" style="121" hidden="1" customWidth="1"/>
    <col min="8218" max="8218" width="3.625" style="121" customWidth="1"/>
    <col min="8219" max="8219" width="8.25" style="121" bestFit="1" customWidth="1"/>
    <col min="8220" max="8220" width="20.625" style="121" customWidth="1"/>
    <col min="8221" max="8221" width="2.25" style="121" bestFit="1" customWidth="1"/>
    <col min="8222" max="8222" width="20.625" style="121" customWidth="1"/>
    <col min="8223" max="8223" width="2.25" style="121" bestFit="1" customWidth="1"/>
    <col min="8224" max="8224" width="20.625" style="121" customWidth="1"/>
    <col min="8225" max="8225" width="2.25" style="121" bestFit="1" customWidth="1"/>
    <col min="8226" max="8226" width="20.625" style="121" customWidth="1"/>
    <col min="8227" max="8227" width="2.25" style="121" bestFit="1" customWidth="1"/>
    <col min="8228" max="8228" width="20.625" style="121" customWidth="1"/>
    <col min="8229" max="8229" width="2.25" style="121" bestFit="1" customWidth="1"/>
    <col min="8230" max="8230" width="20.625" style="121" customWidth="1"/>
    <col min="8231" max="8231" width="2.25" style="121" bestFit="1" customWidth="1"/>
    <col min="8232" max="8232" width="20.625" style="121" customWidth="1"/>
    <col min="8233" max="8233" width="2.25" style="121" bestFit="1" customWidth="1"/>
    <col min="8234" max="8234" width="20.625" style="121" customWidth="1"/>
    <col min="8235" max="8235" width="2.25" style="121" bestFit="1" customWidth="1"/>
    <col min="8236" max="8236" width="20.625" style="121" customWidth="1"/>
    <col min="8237" max="8237" width="2.25" style="121" bestFit="1" customWidth="1"/>
    <col min="8238" max="8238" width="20.625" style="121" customWidth="1"/>
    <col min="8239" max="8239" width="2.25" style="121" bestFit="1" customWidth="1"/>
    <col min="8240" max="8240" width="20.625" style="121" customWidth="1"/>
    <col min="8241" max="8241" width="2.25" style="121" bestFit="1" customWidth="1"/>
    <col min="8242" max="8242" width="20.625" style="121" customWidth="1"/>
    <col min="8243" max="8448" width="9" style="121"/>
    <col min="8449" max="8449" width="15.625" style="121" customWidth="1"/>
    <col min="8450" max="8473" width="0" style="121" hidden="1" customWidth="1"/>
    <col min="8474" max="8474" width="3.625" style="121" customWidth="1"/>
    <col min="8475" max="8475" width="8.25" style="121" bestFit="1" customWidth="1"/>
    <col min="8476" max="8476" width="20.625" style="121" customWidth="1"/>
    <col min="8477" max="8477" width="2.25" style="121" bestFit="1" customWidth="1"/>
    <col min="8478" max="8478" width="20.625" style="121" customWidth="1"/>
    <col min="8479" max="8479" width="2.25" style="121" bestFit="1" customWidth="1"/>
    <col min="8480" max="8480" width="20.625" style="121" customWidth="1"/>
    <col min="8481" max="8481" width="2.25" style="121" bestFit="1" customWidth="1"/>
    <col min="8482" max="8482" width="20.625" style="121" customWidth="1"/>
    <col min="8483" max="8483" width="2.25" style="121" bestFit="1" customWidth="1"/>
    <col min="8484" max="8484" width="20.625" style="121" customWidth="1"/>
    <col min="8485" max="8485" width="2.25" style="121" bestFit="1" customWidth="1"/>
    <col min="8486" max="8486" width="20.625" style="121" customWidth="1"/>
    <col min="8487" max="8487" width="2.25" style="121" bestFit="1" customWidth="1"/>
    <col min="8488" max="8488" width="20.625" style="121" customWidth="1"/>
    <col min="8489" max="8489" width="2.25" style="121" bestFit="1" customWidth="1"/>
    <col min="8490" max="8490" width="20.625" style="121" customWidth="1"/>
    <col min="8491" max="8491" width="2.25" style="121" bestFit="1" customWidth="1"/>
    <col min="8492" max="8492" width="20.625" style="121" customWidth="1"/>
    <col min="8493" max="8493" width="2.25" style="121" bestFit="1" customWidth="1"/>
    <col min="8494" max="8494" width="20.625" style="121" customWidth="1"/>
    <col min="8495" max="8495" width="2.25" style="121" bestFit="1" customWidth="1"/>
    <col min="8496" max="8496" width="20.625" style="121" customWidth="1"/>
    <col min="8497" max="8497" width="2.25" style="121" bestFit="1" customWidth="1"/>
    <col min="8498" max="8498" width="20.625" style="121" customWidth="1"/>
    <col min="8499" max="8704" width="9" style="121"/>
    <col min="8705" max="8705" width="15.625" style="121" customWidth="1"/>
    <col min="8706" max="8729" width="0" style="121" hidden="1" customWidth="1"/>
    <col min="8730" max="8730" width="3.625" style="121" customWidth="1"/>
    <col min="8731" max="8731" width="8.25" style="121" bestFit="1" customWidth="1"/>
    <col min="8732" max="8732" width="20.625" style="121" customWidth="1"/>
    <col min="8733" max="8733" width="2.25" style="121" bestFit="1" customWidth="1"/>
    <col min="8734" max="8734" width="20.625" style="121" customWidth="1"/>
    <col min="8735" max="8735" width="2.25" style="121" bestFit="1" customWidth="1"/>
    <col min="8736" max="8736" width="20.625" style="121" customWidth="1"/>
    <col min="8737" max="8737" width="2.25" style="121" bestFit="1" customWidth="1"/>
    <col min="8738" max="8738" width="20.625" style="121" customWidth="1"/>
    <col min="8739" max="8739" width="2.25" style="121" bestFit="1" customWidth="1"/>
    <col min="8740" max="8740" width="20.625" style="121" customWidth="1"/>
    <col min="8741" max="8741" width="2.25" style="121" bestFit="1" customWidth="1"/>
    <col min="8742" max="8742" width="20.625" style="121" customWidth="1"/>
    <col min="8743" max="8743" width="2.25" style="121" bestFit="1" customWidth="1"/>
    <col min="8744" max="8744" width="20.625" style="121" customWidth="1"/>
    <col min="8745" max="8745" width="2.25" style="121" bestFit="1" customWidth="1"/>
    <col min="8746" max="8746" width="20.625" style="121" customWidth="1"/>
    <col min="8747" max="8747" width="2.25" style="121" bestFit="1" customWidth="1"/>
    <col min="8748" max="8748" width="20.625" style="121" customWidth="1"/>
    <col min="8749" max="8749" width="2.25" style="121" bestFit="1" customWidth="1"/>
    <col min="8750" max="8750" width="20.625" style="121" customWidth="1"/>
    <col min="8751" max="8751" width="2.25" style="121" bestFit="1" customWidth="1"/>
    <col min="8752" max="8752" width="20.625" style="121" customWidth="1"/>
    <col min="8753" max="8753" width="2.25" style="121" bestFit="1" customWidth="1"/>
    <col min="8754" max="8754" width="20.625" style="121" customWidth="1"/>
    <col min="8755" max="8960" width="9" style="121"/>
    <col min="8961" max="8961" width="15.625" style="121" customWidth="1"/>
    <col min="8962" max="8985" width="0" style="121" hidden="1" customWidth="1"/>
    <col min="8986" max="8986" width="3.625" style="121" customWidth="1"/>
    <col min="8987" max="8987" width="8.25" style="121" bestFit="1" customWidth="1"/>
    <col min="8988" max="8988" width="20.625" style="121" customWidth="1"/>
    <col min="8989" max="8989" width="2.25" style="121" bestFit="1" customWidth="1"/>
    <col min="8990" max="8990" width="20.625" style="121" customWidth="1"/>
    <col min="8991" max="8991" width="2.25" style="121" bestFit="1" customWidth="1"/>
    <col min="8992" max="8992" width="20.625" style="121" customWidth="1"/>
    <col min="8993" max="8993" width="2.25" style="121" bestFit="1" customWidth="1"/>
    <col min="8994" max="8994" width="20.625" style="121" customWidth="1"/>
    <col min="8995" max="8995" width="2.25" style="121" bestFit="1" customWidth="1"/>
    <col min="8996" max="8996" width="20.625" style="121" customWidth="1"/>
    <col min="8997" max="8997" width="2.25" style="121" bestFit="1" customWidth="1"/>
    <col min="8998" max="8998" width="20.625" style="121" customWidth="1"/>
    <col min="8999" max="8999" width="2.25" style="121" bestFit="1" customWidth="1"/>
    <col min="9000" max="9000" width="20.625" style="121" customWidth="1"/>
    <col min="9001" max="9001" width="2.25" style="121" bestFit="1" customWidth="1"/>
    <col min="9002" max="9002" width="20.625" style="121" customWidth="1"/>
    <col min="9003" max="9003" width="2.25" style="121" bestFit="1" customWidth="1"/>
    <col min="9004" max="9004" width="20.625" style="121" customWidth="1"/>
    <col min="9005" max="9005" width="2.25" style="121" bestFit="1" customWidth="1"/>
    <col min="9006" max="9006" width="20.625" style="121" customWidth="1"/>
    <col min="9007" max="9007" width="2.25" style="121" bestFit="1" customWidth="1"/>
    <col min="9008" max="9008" width="20.625" style="121" customWidth="1"/>
    <col min="9009" max="9009" width="2.25" style="121" bestFit="1" customWidth="1"/>
    <col min="9010" max="9010" width="20.625" style="121" customWidth="1"/>
    <col min="9011" max="9216" width="9" style="121"/>
    <col min="9217" max="9217" width="15.625" style="121" customWidth="1"/>
    <col min="9218" max="9241" width="0" style="121" hidden="1" customWidth="1"/>
    <col min="9242" max="9242" width="3.625" style="121" customWidth="1"/>
    <col min="9243" max="9243" width="8.25" style="121" bestFit="1" customWidth="1"/>
    <col min="9244" max="9244" width="20.625" style="121" customWidth="1"/>
    <col min="9245" max="9245" width="2.25" style="121" bestFit="1" customWidth="1"/>
    <col min="9246" max="9246" width="20.625" style="121" customWidth="1"/>
    <col min="9247" max="9247" width="2.25" style="121" bestFit="1" customWidth="1"/>
    <col min="9248" max="9248" width="20.625" style="121" customWidth="1"/>
    <col min="9249" max="9249" width="2.25" style="121" bestFit="1" customWidth="1"/>
    <col min="9250" max="9250" width="20.625" style="121" customWidth="1"/>
    <col min="9251" max="9251" width="2.25" style="121" bestFit="1" customWidth="1"/>
    <col min="9252" max="9252" width="20.625" style="121" customWidth="1"/>
    <col min="9253" max="9253" width="2.25" style="121" bestFit="1" customWidth="1"/>
    <col min="9254" max="9254" width="20.625" style="121" customWidth="1"/>
    <col min="9255" max="9255" width="2.25" style="121" bestFit="1" customWidth="1"/>
    <col min="9256" max="9256" width="20.625" style="121" customWidth="1"/>
    <col min="9257" max="9257" width="2.25" style="121" bestFit="1" customWidth="1"/>
    <col min="9258" max="9258" width="20.625" style="121" customWidth="1"/>
    <col min="9259" max="9259" width="2.25" style="121" bestFit="1" customWidth="1"/>
    <col min="9260" max="9260" width="20.625" style="121" customWidth="1"/>
    <col min="9261" max="9261" width="2.25" style="121" bestFit="1" customWidth="1"/>
    <col min="9262" max="9262" width="20.625" style="121" customWidth="1"/>
    <col min="9263" max="9263" width="2.25" style="121" bestFit="1" customWidth="1"/>
    <col min="9264" max="9264" width="20.625" style="121" customWidth="1"/>
    <col min="9265" max="9265" width="2.25" style="121" bestFit="1" customWidth="1"/>
    <col min="9266" max="9266" width="20.625" style="121" customWidth="1"/>
    <col min="9267" max="9472" width="9" style="121"/>
    <col min="9473" max="9473" width="15.625" style="121" customWidth="1"/>
    <col min="9474" max="9497" width="0" style="121" hidden="1" customWidth="1"/>
    <col min="9498" max="9498" width="3.625" style="121" customWidth="1"/>
    <col min="9499" max="9499" width="8.25" style="121" bestFit="1" customWidth="1"/>
    <col min="9500" max="9500" width="20.625" style="121" customWidth="1"/>
    <col min="9501" max="9501" width="2.25" style="121" bestFit="1" customWidth="1"/>
    <col min="9502" max="9502" width="20.625" style="121" customWidth="1"/>
    <col min="9503" max="9503" width="2.25" style="121" bestFit="1" customWidth="1"/>
    <col min="9504" max="9504" width="20.625" style="121" customWidth="1"/>
    <col min="9505" max="9505" width="2.25" style="121" bestFit="1" customWidth="1"/>
    <col min="9506" max="9506" width="20.625" style="121" customWidth="1"/>
    <col min="9507" max="9507" width="2.25" style="121" bestFit="1" customWidth="1"/>
    <col min="9508" max="9508" width="20.625" style="121" customWidth="1"/>
    <col min="9509" max="9509" width="2.25" style="121" bestFit="1" customWidth="1"/>
    <col min="9510" max="9510" width="20.625" style="121" customWidth="1"/>
    <col min="9511" max="9511" width="2.25" style="121" bestFit="1" customWidth="1"/>
    <col min="9512" max="9512" width="20.625" style="121" customWidth="1"/>
    <col min="9513" max="9513" width="2.25" style="121" bestFit="1" customWidth="1"/>
    <col min="9514" max="9514" width="20.625" style="121" customWidth="1"/>
    <col min="9515" max="9515" width="2.25" style="121" bestFit="1" customWidth="1"/>
    <col min="9516" max="9516" width="20.625" style="121" customWidth="1"/>
    <col min="9517" max="9517" width="2.25" style="121" bestFit="1" customWidth="1"/>
    <col min="9518" max="9518" width="20.625" style="121" customWidth="1"/>
    <col min="9519" max="9519" width="2.25" style="121" bestFit="1" customWidth="1"/>
    <col min="9520" max="9520" width="20.625" style="121" customWidth="1"/>
    <col min="9521" max="9521" width="2.25" style="121" bestFit="1" customWidth="1"/>
    <col min="9522" max="9522" width="20.625" style="121" customWidth="1"/>
    <col min="9523" max="9728" width="9" style="121"/>
    <col min="9729" max="9729" width="15.625" style="121" customWidth="1"/>
    <col min="9730" max="9753" width="0" style="121" hidden="1" customWidth="1"/>
    <col min="9754" max="9754" width="3.625" style="121" customWidth="1"/>
    <col min="9755" max="9755" width="8.25" style="121" bestFit="1" customWidth="1"/>
    <col min="9756" max="9756" width="20.625" style="121" customWidth="1"/>
    <col min="9757" max="9757" width="2.25" style="121" bestFit="1" customWidth="1"/>
    <col min="9758" max="9758" width="20.625" style="121" customWidth="1"/>
    <col min="9759" max="9759" width="2.25" style="121" bestFit="1" customWidth="1"/>
    <col min="9760" max="9760" width="20.625" style="121" customWidth="1"/>
    <col min="9761" max="9761" width="2.25" style="121" bestFit="1" customWidth="1"/>
    <col min="9762" max="9762" width="20.625" style="121" customWidth="1"/>
    <col min="9763" max="9763" width="2.25" style="121" bestFit="1" customWidth="1"/>
    <col min="9764" max="9764" width="20.625" style="121" customWidth="1"/>
    <col min="9765" max="9765" width="2.25" style="121" bestFit="1" customWidth="1"/>
    <col min="9766" max="9766" width="20.625" style="121" customWidth="1"/>
    <col min="9767" max="9767" width="2.25" style="121" bestFit="1" customWidth="1"/>
    <col min="9768" max="9768" width="20.625" style="121" customWidth="1"/>
    <col min="9769" max="9769" width="2.25" style="121" bestFit="1" customWidth="1"/>
    <col min="9770" max="9770" width="20.625" style="121" customWidth="1"/>
    <col min="9771" max="9771" width="2.25" style="121" bestFit="1" customWidth="1"/>
    <col min="9772" max="9772" width="20.625" style="121" customWidth="1"/>
    <col min="9773" max="9773" width="2.25" style="121" bestFit="1" customWidth="1"/>
    <col min="9774" max="9774" width="20.625" style="121" customWidth="1"/>
    <col min="9775" max="9775" width="2.25" style="121" bestFit="1" customWidth="1"/>
    <col min="9776" max="9776" width="20.625" style="121" customWidth="1"/>
    <col min="9777" max="9777" width="2.25" style="121" bestFit="1" customWidth="1"/>
    <col min="9778" max="9778" width="20.625" style="121" customWidth="1"/>
    <col min="9779" max="9984" width="9" style="121"/>
    <col min="9985" max="9985" width="15.625" style="121" customWidth="1"/>
    <col min="9986" max="10009" width="0" style="121" hidden="1" customWidth="1"/>
    <col min="10010" max="10010" width="3.625" style="121" customWidth="1"/>
    <col min="10011" max="10011" width="8.25" style="121" bestFit="1" customWidth="1"/>
    <col min="10012" max="10012" width="20.625" style="121" customWidth="1"/>
    <col min="10013" max="10013" width="2.25" style="121" bestFit="1" customWidth="1"/>
    <col min="10014" max="10014" width="20.625" style="121" customWidth="1"/>
    <col min="10015" max="10015" width="2.25" style="121" bestFit="1" customWidth="1"/>
    <col min="10016" max="10016" width="20.625" style="121" customWidth="1"/>
    <col min="10017" max="10017" width="2.25" style="121" bestFit="1" customWidth="1"/>
    <col min="10018" max="10018" width="20.625" style="121" customWidth="1"/>
    <col min="10019" max="10019" width="2.25" style="121" bestFit="1" customWidth="1"/>
    <col min="10020" max="10020" width="20.625" style="121" customWidth="1"/>
    <col min="10021" max="10021" width="2.25" style="121" bestFit="1" customWidth="1"/>
    <col min="10022" max="10022" width="20.625" style="121" customWidth="1"/>
    <col min="10023" max="10023" width="2.25" style="121" bestFit="1" customWidth="1"/>
    <col min="10024" max="10024" width="20.625" style="121" customWidth="1"/>
    <col min="10025" max="10025" width="2.25" style="121" bestFit="1" customWidth="1"/>
    <col min="10026" max="10026" width="20.625" style="121" customWidth="1"/>
    <col min="10027" max="10027" width="2.25" style="121" bestFit="1" customWidth="1"/>
    <col min="10028" max="10028" width="20.625" style="121" customWidth="1"/>
    <col min="10029" max="10029" width="2.25" style="121" bestFit="1" customWidth="1"/>
    <col min="10030" max="10030" width="20.625" style="121" customWidth="1"/>
    <col min="10031" max="10031" width="2.25" style="121" bestFit="1" customWidth="1"/>
    <col min="10032" max="10032" width="20.625" style="121" customWidth="1"/>
    <col min="10033" max="10033" width="2.25" style="121" bestFit="1" customWidth="1"/>
    <col min="10034" max="10034" width="20.625" style="121" customWidth="1"/>
    <col min="10035" max="10240" width="9" style="121"/>
    <col min="10241" max="10241" width="15.625" style="121" customWidth="1"/>
    <col min="10242" max="10265" width="0" style="121" hidden="1" customWidth="1"/>
    <col min="10266" max="10266" width="3.625" style="121" customWidth="1"/>
    <col min="10267" max="10267" width="8.25" style="121" bestFit="1" customWidth="1"/>
    <col min="10268" max="10268" width="20.625" style="121" customWidth="1"/>
    <col min="10269" max="10269" width="2.25" style="121" bestFit="1" customWidth="1"/>
    <col min="10270" max="10270" width="20.625" style="121" customWidth="1"/>
    <col min="10271" max="10271" width="2.25" style="121" bestFit="1" customWidth="1"/>
    <col min="10272" max="10272" width="20.625" style="121" customWidth="1"/>
    <col min="10273" max="10273" width="2.25" style="121" bestFit="1" customWidth="1"/>
    <col min="10274" max="10274" width="20.625" style="121" customWidth="1"/>
    <col min="10275" max="10275" width="2.25" style="121" bestFit="1" customWidth="1"/>
    <col min="10276" max="10276" width="20.625" style="121" customWidth="1"/>
    <col min="10277" max="10277" width="2.25" style="121" bestFit="1" customWidth="1"/>
    <col min="10278" max="10278" width="20.625" style="121" customWidth="1"/>
    <col min="10279" max="10279" width="2.25" style="121" bestFit="1" customWidth="1"/>
    <col min="10280" max="10280" width="20.625" style="121" customWidth="1"/>
    <col min="10281" max="10281" width="2.25" style="121" bestFit="1" customWidth="1"/>
    <col min="10282" max="10282" width="20.625" style="121" customWidth="1"/>
    <col min="10283" max="10283" width="2.25" style="121" bestFit="1" customWidth="1"/>
    <col min="10284" max="10284" width="20.625" style="121" customWidth="1"/>
    <col min="10285" max="10285" width="2.25" style="121" bestFit="1" customWidth="1"/>
    <col min="10286" max="10286" width="20.625" style="121" customWidth="1"/>
    <col min="10287" max="10287" width="2.25" style="121" bestFit="1" customWidth="1"/>
    <col min="10288" max="10288" width="20.625" style="121" customWidth="1"/>
    <col min="10289" max="10289" width="2.25" style="121" bestFit="1" customWidth="1"/>
    <col min="10290" max="10290" width="20.625" style="121" customWidth="1"/>
    <col min="10291" max="10496" width="9" style="121"/>
    <col min="10497" max="10497" width="15.625" style="121" customWidth="1"/>
    <col min="10498" max="10521" width="0" style="121" hidden="1" customWidth="1"/>
    <col min="10522" max="10522" width="3.625" style="121" customWidth="1"/>
    <col min="10523" max="10523" width="8.25" style="121" bestFit="1" customWidth="1"/>
    <col min="10524" max="10524" width="20.625" style="121" customWidth="1"/>
    <col min="10525" max="10525" width="2.25" style="121" bestFit="1" customWidth="1"/>
    <col min="10526" max="10526" width="20.625" style="121" customWidth="1"/>
    <col min="10527" max="10527" width="2.25" style="121" bestFit="1" customWidth="1"/>
    <col min="10528" max="10528" width="20.625" style="121" customWidth="1"/>
    <col min="10529" max="10529" width="2.25" style="121" bestFit="1" customWidth="1"/>
    <col min="10530" max="10530" width="20.625" style="121" customWidth="1"/>
    <col min="10531" max="10531" width="2.25" style="121" bestFit="1" customWidth="1"/>
    <col min="10532" max="10532" width="20.625" style="121" customWidth="1"/>
    <col min="10533" max="10533" width="2.25" style="121" bestFit="1" customWidth="1"/>
    <col min="10534" max="10534" width="20.625" style="121" customWidth="1"/>
    <col min="10535" max="10535" width="2.25" style="121" bestFit="1" customWidth="1"/>
    <col min="10536" max="10536" width="20.625" style="121" customWidth="1"/>
    <col min="10537" max="10537" width="2.25" style="121" bestFit="1" customWidth="1"/>
    <col min="10538" max="10538" width="20.625" style="121" customWidth="1"/>
    <col min="10539" max="10539" width="2.25" style="121" bestFit="1" customWidth="1"/>
    <col min="10540" max="10540" width="20.625" style="121" customWidth="1"/>
    <col min="10541" max="10541" width="2.25" style="121" bestFit="1" customWidth="1"/>
    <col min="10542" max="10542" width="20.625" style="121" customWidth="1"/>
    <col min="10543" max="10543" width="2.25" style="121" bestFit="1" customWidth="1"/>
    <col min="10544" max="10544" width="20.625" style="121" customWidth="1"/>
    <col min="10545" max="10545" width="2.25" style="121" bestFit="1" customWidth="1"/>
    <col min="10546" max="10546" width="20.625" style="121" customWidth="1"/>
    <col min="10547" max="10752" width="9" style="121"/>
    <col min="10753" max="10753" width="15.625" style="121" customWidth="1"/>
    <col min="10754" max="10777" width="0" style="121" hidden="1" customWidth="1"/>
    <col min="10778" max="10778" width="3.625" style="121" customWidth="1"/>
    <col min="10779" max="10779" width="8.25" style="121" bestFit="1" customWidth="1"/>
    <col min="10780" max="10780" width="20.625" style="121" customWidth="1"/>
    <col min="10781" max="10781" width="2.25" style="121" bestFit="1" customWidth="1"/>
    <col min="10782" max="10782" width="20.625" style="121" customWidth="1"/>
    <col min="10783" max="10783" width="2.25" style="121" bestFit="1" customWidth="1"/>
    <col min="10784" max="10784" width="20.625" style="121" customWidth="1"/>
    <col min="10785" max="10785" width="2.25" style="121" bestFit="1" customWidth="1"/>
    <col min="10786" max="10786" width="20.625" style="121" customWidth="1"/>
    <col min="10787" max="10787" width="2.25" style="121" bestFit="1" customWidth="1"/>
    <col min="10788" max="10788" width="20.625" style="121" customWidth="1"/>
    <col min="10789" max="10789" width="2.25" style="121" bestFit="1" customWidth="1"/>
    <col min="10790" max="10790" width="20.625" style="121" customWidth="1"/>
    <col min="10791" max="10791" width="2.25" style="121" bestFit="1" customWidth="1"/>
    <col min="10792" max="10792" width="20.625" style="121" customWidth="1"/>
    <col min="10793" max="10793" width="2.25" style="121" bestFit="1" customWidth="1"/>
    <col min="10794" max="10794" width="20.625" style="121" customWidth="1"/>
    <col min="10795" max="10795" width="2.25" style="121" bestFit="1" customWidth="1"/>
    <col min="10796" max="10796" width="20.625" style="121" customWidth="1"/>
    <col min="10797" max="10797" width="2.25" style="121" bestFit="1" customWidth="1"/>
    <col min="10798" max="10798" width="20.625" style="121" customWidth="1"/>
    <col min="10799" max="10799" width="2.25" style="121" bestFit="1" customWidth="1"/>
    <col min="10800" max="10800" width="20.625" style="121" customWidth="1"/>
    <col min="10801" max="10801" width="2.25" style="121" bestFit="1" customWidth="1"/>
    <col min="10802" max="10802" width="20.625" style="121" customWidth="1"/>
    <col min="10803" max="11008" width="9" style="121"/>
    <col min="11009" max="11009" width="15.625" style="121" customWidth="1"/>
    <col min="11010" max="11033" width="0" style="121" hidden="1" customWidth="1"/>
    <col min="11034" max="11034" width="3.625" style="121" customWidth="1"/>
    <col min="11035" max="11035" width="8.25" style="121" bestFit="1" customWidth="1"/>
    <col min="11036" max="11036" width="20.625" style="121" customWidth="1"/>
    <col min="11037" max="11037" width="2.25" style="121" bestFit="1" customWidth="1"/>
    <col min="11038" max="11038" width="20.625" style="121" customWidth="1"/>
    <col min="11039" max="11039" width="2.25" style="121" bestFit="1" customWidth="1"/>
    <col min="11040" max="11040" width="20.625" style="121" customWidth="1"/>
    <col min="11041" max="11041" width="2.25" style="121" bestFit="1" customWidth="1"/>
    <col min="11042" max="11042" width="20.625" style="121" customWidth="1"/>
    <col min="11043" max="11043" width="2.25" style="121" bestFit="1" customWidth="1"/>
    <col min="11044" max="11044" width="20.625" style="121" customWidth="1"/>
    <col min="11045" max="11045" width="2.25" style="121" bestFit="1" customWidth="1"/>
    <col min="11046" max="11046" width="20.625" style="121" customWidth="1"/>
    <col min="11047" max="11047" width="2.25" style="121" bestFit="1" customWidth="1"/>
    <col min="11048" max="11048" width="20.625" style="121" customWidth="1"/>
    <col min="11049" max="11049" width="2.25" style="121" bestFit="1" customWidth="1"/>
    <col min="11050" max="11050" width="20.625" style="121" customWidth="1"/>
    <col min="11051" max="11051" width="2.25" style="121" bestFit="1" customWidth="1"/>
    <col min="11052" max="11052" width="20.625" style="121" customWidth="1"/>
    <col min="11053" max="11053" width="2.25" style="121" bestFit="1" customWidth="1"/>
    <col min="11054" max="11054" width="20.625" style="121" customWidth="1"/>
    <col min="11055" max="11055" width="2.25" style="121" bestFit="1" customWidth="1"/>
    <col min="11056" max="11056" width="20.625" style="121" customWidth="1"/>
    <col min="11057" max="11057" width="2.25" style="121" bestFit="1" customWidth="1"/>
    <col min="11058" max="11058" width="20.625" style="121" customWidth="1"/>
    <col min="11059" max="11264" width="9" style="121"/>
    <col min="11265" max="11265" width="15.625" style="121" customWidth="1"/>
    <col min="11266" max="11289" width="0" style="121" hidden="1" customWidth="1"/>
    <col min="11290" max="11290" width="3.625" style="121" customWidth="1"/>
    <col min="11291" max="11291" width="8.25" style="121" bestFit="1" customWidth="1"/>
    <col min="11292" max="11292" width="20.625" style="121" customWidth="1"/>
    <col min="11293" max="11293" width="2.25" style="121" bestFit="1" customWidth="1"/>
    <col min="11294" max="11294" width="20.625" style="121" customWidth="1"/>
    <col min="11295" max="11295" width="2.25" style="121" bestFit="1" customWidth="1"/>
    <col min="11296" max="11296" width="20.625" style="121" customWidth="1"/>
    <col min="11297" max="11297" width="2.25" style="121" bestFit="1" customWidth="1"/>
    <col min="11298" max="11298" width="20.625" style="121" customWidth="1"/>
    <col min="11299" max="11299" width="2.25" style="121" bestFit="1" customWidth="1"/>
    <col min="11300" max="11300" width="20.625" style="121" customWidth="1"/>
    <col min="11301" max="11301" width="2.25" style="121" bestFit="1" customWidth="1"/>
    <col min="11302" max="11302" width="20.625" style="121" customWidth="1"/>
    <col min="11303" max="11303" width="2.25" style="121" bestFit="1" customWidth="1"/>
    <col min="11304" max="11304" width="20.625" style="121" customWidth="1"/>
    <col min="11305" max="11305" width="2.25" style="121" bestFit="1" customWidth="1"/>
    <col min="11306" max="11306" width="20.625" style="121" customWidth="1"/>
    <col min="11307" max="11307" width="2.25" style="121" bestFit="1" customWidth="1"/>
    <col min="11308" max="11308" width="20.625" style="121" customWidth="1"/>
    <col min="11309" max="11309" width="2.25" style="121" bestFit="1" customWidth="1"/>
    <col min="11310" max="11310" width="20.625" style="121" customWidth="1"/>
    <col min="11311" max="11311" width="2.25" style="121" bestFit="1" customWidth="1"/>
    <col min="11312" max="11312" width="20.625" style="121" customWidth="1"/>
    <col min="11313" max="11313" width="2.25" style="121" bestFit="1" customWidth="1"/>
    <col min="11314" max="11314" width="20.625" style="121" customWidth="1"/>
    <col min="11315" max="11520" width="9" style="121"/>
    <col min="11521" max="11521" width="15.625" style="121" customWidth="1"/>
    <col min="11522" max="11545" width="0" style="121" hidden="1" customWidth="1"/>
    <col min="11546" max="11546" width="3.625" style="121" customWidth="1"/>
    <col min="11547" max="11547" width="8.25" style="121" bestFit="1" customWidth="1"/>
    <col min="11548" max="11548" width="20.625" style="121" customWidth="1"/>
    <col min="11549" max="11549" width="2.25" style="121" bestFit="1" customWidth="1"/>
    <col min="11550" max="11550" width="20.625" style="121" customWidth="1"/>
    <col min="11551" max="11551" width="2.25" style="121" bestFit="1" customWidth="1"/>
    <col min="11552" max="11552" width="20.625" style="121" customWidth="1"/>
    <col min="11553" max="11553" width="2.25" style="121" bestFit="1" customWidth="1"/>
    <col min="11554" max="11554" width="20.625" style="121" customWidth="1"/>
    <col min="11555" max="11555" width="2.25" style="121" bestFit="1" customWidth="1"/>
    <col min="11556" max="11556" width="20.625" style="121" customWidth="1"/>
    <col min="11557" max="11557" width="2.25" style="121" bestFit="1" customWidth="1"/>
    <col min="11558" max="11558" width="20.625" style="121" customWidth="1"/>
    <col min="11559" max="11559" width="2.25" style="121" bestFit="1" customWidth="1"/>
    <col min="11560" max="11560" width="20.625" style="121" customWidth="1"/>
    <col min="11561" max="11561" width="2.25" style="121" bestFit="1" customWidth="1"/>
    <col min="11562" max="11562" width="20.625" style="121" customWidth="1"/>
    <col min="11563" max="11563" width="2.25" style="121" bestFit="1" customWidth="1"/>
    <col min="11564" max="11564" width="20.625" style="121" customWidth="1"/>
    <col min="11565" max="11565" width="2.25" style="121" bestFit="1" customWidth="1"/>
    <col min="11566" max="11566" width="20.625" style="121" customWidth="1"/>
    <col min="11567" max="11567" width="2.25" style="121" bestFit="1" customWidth="1"/>
    <col min="11568" max="11568" width="20.625" style="121" customWidth="1"/>
    <col min="11569" max="11569" width="2.25" style="121" bestFit="1" customWidth="1"/>
    <col min="11570" max="11570" width="20.625" style="121" customWidth="1"/>
    <col min="11571" max="11776" width="9" style="121"/>
    <col min="11777" max="11777" width="15.625" style="121" customWidth="1"/>
    <col min="11778" max="11801" width="0" style="121" hidden="1" customWidth="1"/>
    <col min="11802" max="11802" width="3.625" style="121" customWidth="1"/>
    <col min="11803" max="11803" width="8.25" style="121" bestFit="1" customWidth="1"/>
    <col min="11804" max="11804" width="20.625" style="121" customWidth="1"/>
    <col min="11805" max="11805" width="2.25" style="121" bestFit="1" customWidth="1"/>
    <col min="11806" max="11806" width="20.625" style="121" customWidth="1"/>
    <col min="11807" max="11807" width="2.25" style="121" bestFit="1" customWidth="1"/>
    <col min="11808" max="11808" width="20.625" style="121" customWidth="1"/>
    <col min="11809" max="11809" width="2.25" style="121" bestFit="1" customWidth="1"/>
    <col min="11810" max="11810" width="20.625" style="121" customWidth="1"/>
    <col min="11811" max="11811" width="2.25" style="121" bestFit="1" customWidth="1"/>
    <col min="11812" max="11812" width="20.625" style="121" customWidth="1"/>
    <col min="11813" max="11813" width="2.25" style="121" bestFit="1" customWidth="1"/>
    <col min="11814" max="11814" width="20.625" style="121" customWidth="1"/>
    <col min="11815" max="11815" width="2.25" style="121" bestFit="1" customWidth="1"/>
    <col min="11816" max="11816" width="20.625" style="121" customWidth="1"/>
    <col min="11817" max="11817" width="2.25" style="121" bestFit="1" customWidth="1"/>
    <col min="11818" max="11818" width="20.625" style="121" customWidth="1"/>
    <col min="11819" max="11819" width="2.25" style="121" bestFit="1" customWidth="1"/>
    <col min="11820" max="11820" width="20.625" style="121" customWidth="1"/>
    <col min="11821" max="11821" width="2.25" style="121" bestFit="1" customWidth="1"/>
    <col min="11822" max="11822" width="20.625" style="121" customWidth="1"/>
    <col min="11823" max="11823" width="2.25" style="121" bestFit="1" customWidth="1"/>
    <col min="11824" max="11824" width="20.625" style="121" customWidth="1"/>
    <col min="11825" max="11825" width="2.25" style="121" bestFit="1" customWidth="1"/>
    <col min="11826" max="11826" width="20.625" style="121" customWidth="1"/>
    <col min="11827" max="12032" width="9" style="121"/>
    <col min="12033" max="12033" width="15.625" style="121" customWidth="1"/>
    <col min="12034" max="12057" width="0" style="121" hidden="1" customWidth="1"/>
    <col min="12058" max="12058" width="3.625" style="121" customWidth="1"/>
    <col min="12059" max="12059" width="8.25" style="121" bestFit="1" customWidth="1"/>
    <col min="12060" max="12060" width="20.625" style="121" customWidth="1"/>
    <col min="12061" max="12061" width="2.25" style="121" bestFit="1" customWidth="1"/>
    <col min="12062" max="12062" width="20.625" style="121" customWidth="1"/>
    <col min="12063" max="12063" width="2.25" style="121" bestFit="1" customWidth="1"/>
    <col min="12064" max="12064" width="20.625" style="121" customWidth="1"/>
    <col min="12065" max="12065" width="2.25" style="121" bestFit="1" customWidth="1"/>
    <col min="12066" max="12066" width="20.625" style="121" customWidth="1"/>
    <col min="12067" max="12067" width="2.25" style="121" bestFit="1" customWidth="1"/>
    <col min="12068" max="12068" width="20.625" style="121" customWidth="1"/>
    <col min="12069" max="12069" width="2.25" style="121" bestFit="1" customWidth="1"/>
    <col min="12070" max="12070" width="20.625" style="121" customWidth="1"/>
    <col min="12071" max="12071" width="2.25" style="121" bestFit="1" customWidth="1"/>
    <col min="12072" max="12072" width="20.625" style="121" customWidth="1"/>
    <col min="12073" max="12073" width="2.25" style="121" bestFit="1" customWidth="1"/>
    <col min="12074" max="12074" width="20.625" style="121" customWidth="1"/>
    <col min="12075" max="12075" width="2.25" style="121" bestFit="1" customWidth="1"/>
    <col min="12076" max="12076" width="20.625" style="121" customWidth="1"/>
    <col min="12077" max="12077" width="2.25" style="121" bestFit="1" customWidth="1"/>
    <col min="12078" max="12078" width="20.625" style="121" customWidth="1"/>
    <col min="12079" max="12079" width="2.25" style="121" bestFit="1" customWidth="1"/>
    <col min="12080" max="12080" width="20.625" style="121" customWidth="1"/>
    <col min="12081" max="12081" width="2.25" style="121" bestFit="1" customWidth="1"/>
    <col min="12082" max="12082" width="20.625" style="121" customWidth="1"/>
    <col min="12083" max="12288" width="9" style="121"/>
    <col min="12289" max="12289" width="15.625" style="121" customWidth="1"/>
    <col min="12290" max="12313" width="0" style="121" hidden="1" customWidth="1"/>
    <col min="12314" max="12314" width="3.625" style="121" customWidth="1"/>
    <col min="12315" max="12315" width="8.25" style="121" bestFit="1" customWidth="1"/>
    <col min="12316" max="12316" width="20.625" style="121" customWidth="1"/>
    <col min="12317" max="12317" width="2.25" style="121" bestFit="1" customWidth="1"/>
    <col min="12318" max="12318" width="20.625" style="121" customWidth="1"/>
    <col min="12319" max="12319" width="2.25" style="121" bestFit="1" customWidth="1"/>
    <col min="12320" max="12320" width="20.625" style="121" customWidth="1"/>
    <col min="12321" max="12321" width="2.25" style="121" bestFit="1" customWidth="1"/>
    <col min="12322" max="12322" width="20.625" style="121" customWidth="1"/>
    <col min="12323" max="12323" width="2.25" style="121" bestFit="1" customWidth="1"/>
    <col min="12324" max="12324" width="20.625" style="121" customWidth="1"/>
    <col min="12325" max="12325" width="2.25" style="121" bestFit="1" customWidth="1"/>
    <col min="12326" max="12326" width="20.625" style="121" customWidth="1"/>
    <col min="12327" max="12327" width="2.25" style="121" bestFit="1" customWidth="1"/>
    <col min="12328" max="12328" width="20.625" style="121" customWidth="1"/>
    <col min="12329" max="12329" width="2.25" style="121" bestFit="1" customWidth="1"/>
    <col min="12330" max="12330" width="20.625" style="121" customWidth="1"/>
    <col min="12331" max="12331" width="2.25" style="121" bestFit="1" customWidth="1"/>
    <col min="12332" max="12332" width="20.625" style="121" customWidth="1"/>
    <col min="12333" max="12333" width="2.25" style="121" bestFit="1" customWidth="1"/>
    <col min="12334" max="12334" width="20.625" style="121" customWidth="1"/>
    <col min="12335" max="12335" width="2.25" style="121" bestFit="1" customWidth="1"/>
    <col min="12336" max="12336" width="20.625" style="121" customWidth="1"/>
    <col min="12337" max="12337" width="2.25" style="121" bestFit="1" customWidth="1"/>
    <col min="12338" max="12338" width="20.625" style="121" customWidth="1"/>
    <col min="12339" max="12544" width="9" style="121"/>
    <col min="12545" max="12545" width="15.625" style="121" customWidth="1"/>
    <col min="12546" max="12569" width="0" style="121" hidden="1" customWidth="1"/>
    <col min="12570" max="12570" width="3.625" style="121" customWidth="1"/>
    <col min="12571" max="12571" width="8.25" style="121" bestFit="1" customWidth="1"/>
    <col min="12572" max="12572" width="20.625" style="121" customWidth="1"/>
    <col min="12573" max="12573" width="2.25" style="121" bestFit="1" customWidth="1"/>
    <col min="12574" max="12574" width="20.625" style="121" customWidth="1"/>
    <col min="12575" max="12575" width="2.25" style="121" bestFit="1" customWidth="1"/>
    <col min="12576" max="12576" width="20.625" style="121" customWidth="1"/>
    <col min="12577" max="12577" width="2.25" style="121" bestFit="1" customWidth="1"/>
    <col min="12578" max="12578" width="20.625" style="121" customWidth="1"/>
    <col min="12579" max="12579" width="2.25" style="121" bestFit="1" customWidth="1"/>
    <col min="12580" max="12580" width="20.625" style="121" customWidth="1"/>
    <col min="12581" max="12581" width="2.25" style="121" bestFit="1" customWidth="1"/>
    <col min="12582" max="12582" width="20.625" style="121" customWidth="1"/>
    <col min="12583" max="12583" width="2.25" style="121" bestFit="1" customWidth="1"/>
    <col min="12584" max="12584" width="20.625" style="121" customWidth="1"/>
    <col min="12585" max="12585" width="2.25" style="121" bestFit="1" customWidth="1"/>
    <col min="12586" max="12586" width="20.625" style="121" customWidth="1"/>
    <col min="12587" max="12587" width="2.25" style="121" bestFit="1" customWidth="1"/>
    <col min="12588" max="12588" width="20.625" style="121" customWidth="1"/>
    <col min="12589" max="12589" width="2.25" style="121" bestFit="1" customWidth="1"/>
    <col min="12590" max="12590" width="20.625" style="121" customWidth="1"/>
    <col min="12591" max="12591" width="2.25" style="121" bestFit="1" customWidth="1"/>
    <col min="12592" max="12592" width="20.625" style="121" customWidth="1"/>
    <col min="12593" max="12593" width="2.25" style="121" bestFit="1" customWidth="1"/>
    <col min="12594" max="12594" width="20.625" style="121" customWidth="1"/>
    <col min="12595" max="12800" width="9" style="121"/>
    <col min="12801" max="12801" width="15.625" style="121" customWidth="1"/>
    <col min="12802" max="12825" width="0" style="121" hidden="1" customWidth="1"/>
    <col min="12826" max="12826" width="3.625" style="121" customWidth="1"/>
    <col min="12827" max="12827" width="8.25" style="121" bestFit="1" customWidth="1"/>
    <col min="12828" max="12828" width="20.625" style="121" customWidth="1"/>
    <col min="12829" max="12829" width="2.25" style="121" bestFit="1" customWidth="1"/>
    <col min="12830" max="12830" width="20.625" style="121" customWidth="1"/>
    <col min="12831" max="12831" width="2.25" style="121" bestFit="1" customWidth="1"/>
    <col min="12832" max="12832" width="20.625" style="121" customWidth="1"/>
    <col min="12833" max="12833" width="2.25" style="121" bestFit="1" customWidth="1"/>
    <col min="12834" max="12834" width="20.625" style="121" customWidth="1"/>
    <col min="12835" max="12835" width="2.25" style="121" bestFit="1" customWidth="1"/>
    <col min="12836" max="12836" width="20.625" style="121" customWidth="1"/>
    <col min="12837" max="12837" width="2.25" style="121" bestFit="1" customWidth="1"/>
    <col min="12838" max="12838" width="20.625" style="121" customWidth="1"/>
    <col min="12839" max="12839" width="2.25" style="121" bestFit="1" customWidth="1"/>
    <col min="12840" max="12840" width="20.625" style="121" customWidth="1"/>
    <col min="12841" max="12841" width="2.25" style="121" bestFit="1" customWidth="1"/>
    <col min="12842" max="12842" width="20.625" style="121" customWidth="1"/>
    <col min="12843" max="12843" width="2.25" style="121" bestFit="1" customWidth="1"/>
    <col min="12844" max="12844" width="20.625" style="121" customWidth="1"/>
    <col min="12845" max="12845" width="2.25" style="121" bestFit="1" customWidth="1"/>
    <col min="12846" max="12846" width="20.625" style="121" customWidth="1"/>
    <col min="12847" max="12847" width="2.25" style="121" bestFit="1" customWidth="1"/>
    <col min="12848" max="12848" width="20.625" style="121" customWidth="1"/>
    <col min="12849" max="12849" width="2.25" style="121" bestFit="1" customWidth="1"/>
    <col min="12850" max="12850" width="20.625" style="121" customWidth="1"/>
    <col min="12851" max="13056" width="9" style="121"/>
    <col min="13057" max="13057" width="15.625" style="121" customWidth="1"/>
    <col min="13058" max="13081" width="0" style="121" hidden="1" customWidth="1"/>
    <col min="13082" max="13082" width="3.625" style="121" customWidth="1"/>
    <col min="13083" max="13083" width="8.25" style="121" bestFit="1" customWidth="1"/>
    <col min="13084" max="13084" width="20.625" style="121" customWidth="1"/>
    <col min="13085" max="13085" width="2.25" style="121" bestFit="1" customWidth="1"/>
    <col min="13086" max="13086" width="20.625" style="121" customWidth="1"/>
    <col min="13087" max="13087" width="2.25" style="121" bestFit="1" customWidth="1"/>
    <col min="13088" max="13088" width="20.625" style="121" customWidth="1"/>
    <col min="13089" max="13089" width="2.25" style="121" bestFit="1" customWidth="1"/>
    <col min="13090" max="13090" width="20.625" style="121" customWidth="1"/>
    <col min="13091" max="13091" width="2.25" style="121" bestFit="1" customWidth="1"/>
    <col min="13092" max="13092" width="20.625" style="121" customWidth="1"/>
    <col min="13093" max="13093" width="2.25" style="121" bestFit="1" customWidth="1"/>
    <col min="13094" max="13094" width="20.625" style="121" customWidth="1"/>
    <col min="13095" max="13095" width="2.25" style="121" bestFit="1" customWidth="1"/>
    <col min="13096" max="13096" width="20.625" style="121" customWidth="1"/>
    <col min="13097" max="13097" width="2.25" style="121" bestFit="1" customWidth="1"/>
    <col min="13098" max="13098" width="20.625" style="121" customWidth="1"/>
    <col min="13099" max="13099" width="2.25" style="121" bestFit="1" customWidth="1"/>
    <col min="13100" max="13100" width="20.625" style="121" customWidth="1"/>
    <col min="13101" max="13101" width="2.25" style="121" bestFit="1" customWidth="1"/>
    <col min="13102" max="13102" width="20.625" style="121" customWidth="1"/>
    <col min="13103" max="13103" width="2.25" style="121" bestFit="1" customWidth="1"/>
    <col min="13104" max="13104" width="20.625" style="121" customWidth="1"/>
    <col min="13105" max="13105" width="2.25" style="121" bestFit="1" customWidth="1"/>
    <col min="13106" max="13106" width="20.625" style="121" customWidth="1"/>
    <col min="13107" max="13312" width="9" style="121"/>
    <col min="13313" max="13313" width="15.625" style="121" customWidth="1"/>
    <col min="13314" max="13337" width="0" style="121" hidden="1" customWidth="1"/>
    <col min="13338" max="13338" width="3.625" style="121" customWidth="1"/>
    <col min="13339" max="13339" width="8.25" style="121" bestFit="1" customWidth="1"/>
    <col min="13340" max="13340" width="20.625" style="121" customWidth="1"/>
    <col min="13341" max="13341" width="2.25" style="121" bestFit="1" customWidth="1"/>
    <col min="13342" max="13342" width="20.625" style="121" customWidth="1"/>
    <col min="13343" max="13343" width="2.25" style="121" bestFit="1" customWidth="1"/>
    <col min="13344" max="13344" width="20.625" style="121" customWidth="1"/>
    <col min="13345" max="13345" width="2.25" style="121" bestFit="1" customWidth="1"/>
    <col min="13346" max="13346" width="20.625" style="121" customWidth="1"/>
    <col min="13347" max="13347" width="2.25" style="121" bestFit="1" customWidth="1"/>
    <col min="13348" max="13348" width="20.625" style="121" customWidth="1"/>
    <col min="13349" max="13349" width="2.25" style="121" bestFit="1" customWidth="1"/>
    <col min="13350" max="13350" width="20.625" style="121" customWidth="1"/>
    <col min="13351" max="13351" width="2.25" style="121" bestFit="1" customWidth="1"/>
    <col min="13352" max="13352" width="20.625" style="121" customWidth="1"/>
    <col min="13353" max="13353" width="2.25" style="121" bestFit="1" customWidth="1"/>
    <col min="13354" max="13354" width="20.625" style="121" customWidth="1"/>
    <col min="13355" max="13355" width="2.25" style="121" bestFit="1" customWidth="1"/>
    <col min="13356" max="13356" width="20.625" style="121" customWidth="1"/>
    <col min="13357" max="13357" width="2.25" style="121" bestFit="1" customWidth="1"/>
    <col min="13358" max="13358" width="20.625" style="121" customWidth="1"/>
    <col min="13359" max="13359" width="2.25" style="121" bestFit="1" customWidth="1"/>
    <col min="13360" max="13360" width="20.625" style="121" customWidth="1"/>
    <col min="13361" max="13361" width="2.25" style="121" bestFit="1" customWidth="1"/>
    <col min="13362" max="13362" width="20.625" style="121" customWidth="1"/>
    <col min="13363" max="13568" width="9" style="121"/>
    <col min="13569" max="13569" width="15.625" style="121" customWidth="1"/>
    <col min="13570" max="13593" width="0" style="121" hidden="1" customWidth="1"/>
    <col min="13594" max="13594" width="3.625" style="121" customWidth="1"/>
    <col min="13595" max="13595" width="8.25" style="121" bestFit="1" customWidth="1"/>
    <col min="13596" max="13596" width="20.625" style="121" customWidth="1"/>
    <col min="13597" max="13597" width="2.25" style="121" bestFit="1" customWidth="1"/>
    <col min="13598" max="13598" width="20.625" style="121" customWidth="1"/>
    <col min="13599" max="13599" width="2.25" style="121" bestFit="1" customWidth="1"/>
    <col min="13600" max="13600" width="20.625" style="121" customWidth="1"/>
    <col min="13601" max="13601" width="2.25" style="121" bestFit="1" customWidth="1"/>
    <col min="13602" max="13602" width="20.625" style="121" customWidth="1"/>
    <col min="13603" max="13603" width="2.25" style="121" bestFit="1" customWidth="1"/>
    <col min="13604" max="13604" width="20.625" style="121" customWidth="1"/>
    <col min="13605" max="13605" width="2.25" style="121" bestFit="1" customWidth="1"/>
    <col min="13606" max="13606" width="20.625" style="121" customWidth="1"/>
    <col min="13607" max="13607" width="2.25" style="121" bestFit="1" customWidth="1"/>
    <col min="13608" max="13608" width="20.625" style="121" customWidth="1"/>
    <col min="13609" max="13609" width="2.25" style="121" bestFit="1" customWidth="1"/>
    <col min="13610" max="13610" width="20.625" style="121" customWidth="1"/>
    <col min="13611" max="13611" width="2.25" style="121" bestFit="1" customWidth="1"/>
    <col min="13612" max="13612" width="20.625" style="121" customWidth="1"/>
    <col min="13613" max="13613" width="2.25" style="121" bestFit="1" customWidth="1"/>
    <col min="13614" max="13614" width="20.625" style="121" customWidth="1"/>
    <col min="13615" max="13615" width="2.25" style="121" bestFit="1" customWidth="1"/>
    <col min="13616" max="13616" width="20.625" style="121" customWidth="1"/>
    <col min="13617" max="13617" width="2.25" style="121" bestFit="1" customWidth="1"/>
    <col min="13618" max="13618" width="20.625" style="121" customWidth="1"/>
    <col min="13619" max="13824" width="9" style="121"/>
    <col min="13825" max="13825" width="15.625" style="121" customWidth="1"/>
    <col min="13826" max="13849" width="0" style="121" hidden="1" customWidth="1"/>
    <col min="13850" max="13850" width="3.625" style="121" customWidth="1"/>
    <col min="13851" max="13851" width="8.25" style="121" bestFit="1" customWidth="1"/>
    <col min="13852" max="13852" width="20.625" style="121" customWidth="1"/>
    <col min="13853" max="13853" width="2.25" style="121" bestFit="1" customWidth="1"/>
    <col min="13854" max="13854" width="20.625" style="121" customWidth="1"/>
    <col min="13855" max="13855" width="2.25" style="121" bestFit="1" customWidth="1"/>
    <col min="13856" max="13856" width="20.625" style="121" customWidth="1"/>
    <col min="13857" max="13857" width="2.25" style="121" bestFit="1" customWidth="1"/>
    <col min="13858" max="13858" width="20.625" style="121" customWidth="1"/>
    <col min="13859" max="13859" width="2.25" style="121" bestFit="1" customWidth="1"/>
    <col min="13860" max="13860" width="20.625" style="121" customWidth="1"/>
    <col min="13861" max="13861" width="2.25" style="121" bestFit="1" customWidth="1"/>
    <col min="13862" max="13862" width="20.625" style="121" customWidth="1"/>
    <col min="13863" max="13863" width="2.25" style="121" bestFit="1" customWidth="1"/>
    <col min="13864" max="13864" width="20.625" style="121" customWidth="1"/>
    <col min="13865" max="13865" width="2.25" style="121" bestFit="1" customWidth="1"/>
    <col min="13866" max="13866" width="20.625" style="121" customWidth="1"/>
    <col min="13867" max="13867" width="2.25" style="121" bestFit="1" customWidth="1"/>
    <col min="13868" max="13868" width="20.625" style="121" customWidth="1"/>
    <col min="13869" max="13869" width="2.25" style="121" bestFit="1" customWidth="1"/>
    <col min="13870" max="13870" width="20.625" style="121" customWidth="1"/>
    <col min="13871" max="13871" width="2.25" style="121" bestFit="1" customWidth="1"/>
    <col min="13872" max="13872" width="20.625" style="121" customWidth="1"/>
    <col min="13873" max="13873" width="2.25" style="121" bestFit="1" customWidth="1"/>
    <col min="13874" max="13874" width="20.625" style="121" customWidth="1"/>
    <col min="13875" max="14080" width="9" style="121"/>
    <col min="14081" max="14081" width="15.625" style="121" customWidth="1"/>
    <col min="14082" max="14105" width="0" style="121" hidden="1" customWidth="1"/>
    <col min="14106" max="14106" width="3.625" style="121" customWidth="1"/>
    <col min="14107" max="14107" width="8.25" style="121" bestFit="1" customWidth="1"/>
    <col min="14108" max="14108" width="20.625" style="121" customWidth="1"/>
    <col min="14109" max="14109" width="2.25" style="121" bestFit="1" customWidth="1"/>
    <col min="14110" max="14110" width="20.625" style="121" customWidth="1"/>
    <col min="14111" max="14111" width="2.25" style="121" bestFit="1" customWidth="1"/>
    <col min="14112" max="14112" width="20.625" style="121" customWidth="1"/>
    <col min="14113" max="14113" width="2.25" style="121" bestFit="1" customWidth="1"/>
    <col min="14114" max="14114" width="20.625" style="121" customWidth="1"/>
    <col min="14115" max="14115" width="2.25" style="121" bestFit="1" customWidth="1"/>
    <col min="14116" max="14116" width="20.625" style="121" customWidth="1"/>
    <col min="14117" max="14117" width="2.25" style="121" bestFit="1" customWidth="1"/>
    <col min="14118" max="14118" width="20.625" style="121" customWidth="1"/>
    <col min="14119" max="14119" width="2.25" style="121" bestFit="1" customWidth="1"/>
    <col min="14120" max="14120" width="20.625" style="121" customWidth="1"/>
    <col min="14121" max="14121" width="2.25" style="121" bestFit="1" customWidth="1"/>
    <col min="14122" max="14122" width="20.625" style="121" customWidth="1"/>
    <col min="14123" max="14123" width="2.25" style="121" bestFit="1" customWidth="1"/>
    <col min="14124" max="14124" width="20.625" style="121" customWidth="1"/>
    <col min="14125" max="14125" width="2.25" style="121" bestFit="1" customWidth="1"/>
    <col min="14126" max="14126" width="20.625" style="121" customWidth="1"/>
    <col min="14127" max="14127" width="2.25" style="121" bestFit="1" customWidth="1"/>
    <col min="14128" max="14128" width="20.625" style="121" customWidth="1"/>
    <col min="14129" max="14129" width="2.25" style="121" bestFit="1" customWidth="1"/>
    <col min="14130" max="14130" width="20.625" style="121" customWidth="1"/>
    <col min="14131" max="14336" width="9" style="121"/>
    <col min="14337" max="14337" width="15.625" style="121" customWidth="1"/>
    <col min="14338" max="14361" width="0" style="121" hidden="1" customWidth="1"/>
    <col min="14362" max="14362" width="3.625" style="121" customWidth="1"/>
    <col min="14363" max="14363" width="8.25" style="121" bestFit="1" customWidth="1"/>
    <col min="14364" max="14364" width="20.625" style="121" customWidth="1"/>
    <col min="14365" max="14365" width="2.25" style="121" bestFit="1" customWidth="1"/>
    <col min="14366" max="14366" width="20.625" style="121" customWidth="1"/>
    <col min="14367" max="14367" width="2.25" style="121" bestFit="1" customWidth="1"/>
    <col min="14368" max="14368" width="20.625" style="121" customWidth="1"/>
    <col min="14369" max="14369" width="2.25" style="121" bestFit="1" customWidth="1"/>
    <col min="14370" max="14370" width="20.625" style="121" customWidth="1"/>
    <col min="14371" max="14371" width="2.25" style="121" bestFit="1" customWidth="1"/>
    <col min="14372" max="14372" width="20.625" style="121" customWidth="1"/>
    <col min="14373" max="14373" width="2.25" style="121" bestFit="1" customWidth="1"/>
    <col min="14374" max="14374" width="20.625" style="121" customWidth="1"/>
    <col min="14375" max="14375" width="2.25" style="121" bestFit="1" customWidth="1"/>
    <col min="14376" max="14376" width="20.625" style="121" customWidth="1"/>
    <col min="14377" max="14377" width="2.25" style="121" bestFit="1" customWidth="1"/>
    <col min="14378" max="14378" width="20.625" style="121" customWidth="1"/>
    <col min="14379" max="14379" width="2.25" style="121" bestFit="1" customWidth="1"/>
    <col min="14380" max="14380" width="20.625" style="121" customWidth="1"/>
    <col min="14381" max="14381" width="2.25" style="121" bestFit="1" customWidth="1"/>
    <col min="14382" max="14382" width="20.625" style="121" customWidth="1"/>
    <col min="14383" max="14383" width="2.25" style="121" bestFit="1" customWidth="1"/>
    <col min="14384" max="14384" width="20.625" style="121" customWidth="1"/>
    <col min="14385" max="14385" width="2.25" style="121" bestFit="1" customWidth="1"/>
    <col min="14386" max="14386" width="20.625" style="121" customWidth="1"/>
    <col min="14387" max="14592" width="9" style="121"/>
    <col min="14593" max="14593" width="15.625" style="121" customWidth="1"/>
    <col min="14594" max="14617" width="0" style="121" hidden="1" customWidth="1"/>
    <col min="14618" max="14618" width="3.625" style="121" customWidth="1"/>
    <col min="14619" max="14619" width="8.25" style="121" bestFit="1" customWidth="1"/>
    <col min="14620" max="14620" width="20.625" style="121" customWidth="1"/>
    <col min="14621" max="14621" width="2.25" style="121" bestFit="1" customWidth="1"/>
    <col min="14622" max="14622" width="20.625" style="121" customWidth="1"/>
    <col min="14623" max="14623" width="2.25" style="121" bestFit="1" customWidth="1"/>
    <col min="14624" max="14624" width="20.625" style="121" customWidth="1"/>
    <col min="14625" max="14625" width="2.25" style="121" bestFit="1" customWidth="1"/>
    <col min="14626" max="14626" width="20.625" style="121" customWidth="1"/>
    <col min="14627" max="14627" width="2.25" style="121" bestFit="1" customWidth="1"/>
    <col min="14628" max="14628" width="20.625" style="121" customWidth="1"/>
    <col min="14629" max="14629" width="2.25" style="121" bestFit="1" customWidth="1"/>
    <col min="14630" max="14630" width="20.625" style="121" customWidth="1"/>
    <col min="14631" max="14631" width="2.25" style="121" bestFit="1" customWidth="1"/>
    <col min="14632" max="14632" width="20.625" style="121" customWidth="1"/>
    <col min="14633" max="14633" width="2.25" style="121" bestFit="1" customWidth="1"/>
    <col min="14634" max="14634" width="20.625" style="121" customWidth="1"/>
    <col min="14635" max="14635" width="2.25" style="121" bestFit="1" customWidth="1"/>
    <col min="14636" max="14636" width="20.625" style="121" customWidth="1"/>
    <col min="14637" max="14637" width="2.25" style="121" bestFit="1" customWidth="1"/>
    <col min="14638" max="14638" width="20.625" style="121" customWidth="1"/>
    <col min="14639" max="14639" width="2.25" style="121" bestFit="1" customWidth="1"/>
    <col min="14640" max="14640" width="20.625" style="121" customWidth="1"/>
    <col min="14641" max="14641" width="2.25" style="121" bestFit="1" customWidth="1"/>
    <col min="14642" max="14642" width="20.625" style="121" customWidth="1"/>
    <col min="14643" max="14848" width="9" style="121"/>
    <col min="14849" max="14849" width="15.625" style="121" customWidth="1"/>
    <col min="14850" max="14873" width="0" style="121" hidden="1" customWidth="1"/>
    <col min="14874" max="14874" width="3.625" style="121" customWidth="1"/>
    <col min="14875" max="14875" width="8.25" style="121" bestFit="1" customWidth="1"/>
    <col min="14876" max="14876" width="20.625" style="121" customWidth="1"/>
    <col min="14877" max="14877" width="2.25" style="121" bestFit="1" customWidth="1"/>
    <col min="14878" max="14878" width="20.625" style="121" customWidth="1"/>
    <col min="14879" max="14879" width="2.25" style="121" bestFit="1" customWidth="1"/>
    <col min="14880" max="14880" width="20.625" style="121" customWidth="1"/>
    <col min="14881" max="14881" width="2.25" style="121" bestFit="1" customWidth="1"/>
    <col min="14882" max="14882" width="20.625" style="121" customWidth="1"/>
    <col min="14883" max="14883" width="2.25" style="121" bestFit="1" customWidth="1"/>
    <col min="14884" max="14884" width="20.625" style="121" customWidth="1"/>
    <col min="14885" max="14885" width="2.25" style="121" bestFit="1" customWidth="1"/>
    <col min="14886" max="14886" width="20.625" style="121" customWidth="1"/>
    <col min="14887" max="14887" width="2.25" style="121" bestFit="1" customWidth="1"/>
    <col min="14888" max="14888" width="20.625" style="121" customWidth="1"/>
    <col min="14889" max="14889" width="2.25" style="121" bestFit="1" customWidth="1"/>
    <col min="14890" max="14890" width="20.625" style="121" customWidth="1"/>
    <col min="14891" max="14891" width="2.25" style="121" bestFit="1" customWidth="1"/>
    <col min="14892" max="14892" width="20.625" style="121" customWidth="1"/>
    <col min="14893" max="14893" width="2.25" style="121" bestFit="1" customWidth="1"/>
    <col min="14894" max="14894" width="20.625" style="121" customWidth="1"/>
    <col min="14895" max="14895" width="2.25" style="121" bestFit="1" customWidth="1"/>
    <col min="14896" max="14896" width="20.625" style="121" customWidth="1"/>
    <col min="14897" max="14897" width="2.25" style="121" bestFit="1" customWidth="1"/>
    <col min="14898" max="14898" width="20.625" style="121" customWidth="1"/>
    <col min="14899" max="15104" width="9" style="121"/>
    <col min="15105" max="15105" width="15.625" style="121" customWidth="1"/>
    <col min="15106" max="15129" width="0" style="121" hidden="1" customWidth="1"/>
    <col min="15130" max="15130" width="3.625" style="121" customWidth="1"/>
    <col min="15131" max="15131" width="8.25" style="121" bestFit="1" customWidth="1"/>
    <col min="15132" max="15132" width="20.625" style="121" customWidth="1"/>
    <col min="15133" max="15133" width="2.25" style="121" bestFit="1" customWidth="1"/>
    <col min="15134" max="15134" width="20.625" style="121" customWidth="1"/>
    <col min="15135" max="15135" width="2.25" style="121" bestFit="1" customWidth="1"/>
    <col min="15136" max="15136" width="20.625" style="121" customWidth="1"/>
    <col min="15137" max="15137" width="2.25" style="121" bestFit="1" customWidth="1"/>
    <col min="15138" max="15138" width="20.625" style="121" customWidth="1"/>
    <col min="15139" max="15139" width="2.25" style="121" bestFit="1" customWidth="1"/>
    <col min="15140" max="15140" width="20.625" style="121" customWidth="1"/>
    <col min="15141" max="15141" width="2.25" style="121" bestFit="1" customWidth="1"/>
    <col min="15142" max="15142" width="20.625" style="121" customWidth="1"/>
    <col min="15143" max="15143" width="2.25" style="121" bestFit="1" customWidth="1"/>
    <col min="15144" max="15144" width="20.625" style="121" customWidth="1"/>
    <col min="15145" max="15145" width="2.25" style="121" bestFit="1" customWidth="1"/>
    <col min="15146" max="15146" width="20.625" style="121" customWidth="1"/>
    <col min="15147" max="15147" width="2.25" style="121" bestFit="1" customWidth="1"/>
    <col min="15148" max="15148" width="20.625" style="121" customWidth="1"/>
    <col min="15149" max="15149" width="2.25" style="121" bestFit="1" customWidth="1"/>
    <col min="15150" max="15150" width="20.625" style="121" customWidth="1"/>
    <col min="15151" max="15151" width="2.25" style="121" bestFit="1" customWidth="1"/>
    <col min="15152" max="15152" width="20.625" style="121" customWidth="1"/>
    <col min="15153" max="15153" width="2.25" style="121" bestFit="1" customWidth="1"/>
    <col min="15154" max="15154" width="20.625" style="121" customWidth="1"/>
    <col min="15155" max="15360" width="9" style="121"/>
    <col min="15361" max="15361" width="15.625" style="121" customWidth="1"/>
    <col min="15362" max="15385" width="0" style="121" hidden="1" customWidth="1"/>
    <col min="15386" max="15386" width="3.625" style="121" customWidth="1"/>
    <col min="15387" max="15387" width="8.25" style="121" bestFit="1" customWidth="1"/>
    <col min="15388" max="15388" width="20.625" style="121" customWidth="1"/>
    <col min="15389" max="15389" width="2.25" style="121" bestFit="1" customWidth="1"/>
    <col min="15390" max="15390" width="20.625" style="121" customWidth="1"/>
    <col min="15391" max="15391" width="2.25" style="121" bestFit="1" customWidth="1"/>
    <col min="15392" max="15392" width="20.625" style="121" customWidth="1"/>
    <col min="15393" max="15393" width="2.25" style="121" bestFit="1" customWidth="1"/>
    <col min="15394" max="15394" width="20.625" style="121" customWidth="1"/>
    <col min="15395" max="15395" width="2.25" style="121" bestFit="1" customWidth="1"/>
    <col min="15396" max="15396" width="20.625" style="121" customWidth="1"/>
    <col min="15397" max="15397" width="2.25" style="121" bestFit="1" customWidth="1"/>
    <col min="15398" max="15398" width="20.625" style="121" customWidth="1"/>
    <col min="15399" max="15399" width="2.25" style="121" bestFit="1" customWidth="1"/>
    <col min="15400" max="15400" width="20.625" style="121" customWidth="1"/>
    <col min="15401" max="15401" width="2.25" style="121" bestFit="1" customWidth="1"/>
    <col min="15402" max="15402" width="20.625" style="121" customWidth="1"/>
    <col min="15403" max="15403" width="2.25" style="121" bestFit="1" customWidth="1"/>
    <col min="15404" max="15404" width="20.625" style="121" customWidth="1"/>
    <col min="15405" max="15405" width="2.25" style="121" bestFit="1" customWidth="1"/>
    <col min="15406" max="15406" width="20.625" style="121" customWidth="1"/>
    <col min="15407" max="15407" width="2.25" style="121" bestFit="1" customWidth="1"/>
    <col min="15408" max="15408" width="20.625" style="121" customWidth="1"/>
    <col min="15409" max="15409" width="2.25" style="121" bestFit="1" customWidth="1"/>
    <col min="15410" max="15410" width="20.625" style="121" customWidth="1"/>
    <col min="15411" max="15616" width="9" style="121"/>
    <col min="15617" max="15617" width="15.625" style="121" customWidth="1"/>
    <col min="15618" max="15641" width="0" style="121" hidden="1" customWidth="1"/>
    <col min="15642" max="15642" width="3.625" style="121" customWidth="1"/>
    <col min="15643" max="15643" width="8.25" style="121" bestFit="1" customWidth="1"/>
    <col min="15644" max="15644" width="20.625" style="121" customWidth="1"/>
    <col min="15645" max="15645" width="2.25" style="121" bestFit="1" customWidth="1"/>
    <col min="15646" max="15646" width="20.625" style="121" customWidth="1"/>
    <col min="15647" max="15647" width="2.25" style="121" bestFit="1" customWidth="1"/>
    <col min="15648" max="15648" width="20.625" style="121" customWidth="1"/>
    <col min="15649" max="15649" width="2.25" style="121" bestFit="1" customWidth="1"/>
    <col min="15650" max="15650" width="20.625" style="121" customWidth="1"/>
    <col min="15651" max="15651" width="2.25" style="121" bestFit="1" customWidth="1"/>
    <col min="15652" max="15652" width="20.625" style="121" customWidth="1"/>
    <col min="15653" max="15653" width="2.25" style="121" bestFit="1" customWidth="1"/>
    <col min="15654" max="15654" width="20.625" style="121" customWidth="1"/>
    <col min="15655" max="15655" width="2.25" style="121" bestFit="1" customWidth="1"/>
    <col min="15656" max="15656" width="20.625" style="121" customWidth="1"/>
    <col min="15657" max="15657" width="2.25" style="121" bestFit="1" customWidth="1"/>
    <col min="15658" max="15658" width="20.625" style="121" customWidth="1"/>
    <col min="15659" max="15659" width="2.25" style="121" bestFit="1" customWidth="1"/>
    <col min="15660" max="15660" width="20.625" style="121" customWidth="1"/>
    <col min="15661" max="15661" width="2.25" style="121" bestFit="1" customWidth="1"/>
    <col min="15662" max="15662" width="20.625" style="121" customWidth="1"/>
    <col min="15663" max="15663" width="2.25" style="121" bestFit="1" customWidth="1"/>
    <col min="15664" max="15664" width="20.625" style="121" customWidth="1"/>
    <col min="15665" max="15665" width="2.25" style="121" bestFit="1" customWidth="1"/>
    <col min="15666" max="15666" width="20.625" style="121" customWidth="1"/>
    <col min="15667" max="15872" width="9" style="121"/>
    <col min="15873" max="15873" width="15.625" style="121" customWidth="1"/>
    <col min="15874" max="15897" width="0" style="121" hidden="1" customWidth="1"/>
    <col min="15898" max="15898" width="3.625" style="121" customWidth="1"/>
    <col min="15899" max="15899" width="8.25" style="121" bestFit="1" customWidth="1"/>
    <col min="15900" max="15900" width="20.625" style="121" customWidth="1"/>
    <col min="15901" max="15901" width="2.25" style="121" bestFit="1" customWidth="1"/>
    <col min="15902" max="15902" width="20.625" style="121" customWidth="1"/>
    <col min="15903" max="15903" width="2.25" style="121" bestFit="1" customWidth="1"/>
    <col min="15904" max="15904" width="20.625" style="121" customWidth="1"/>
    <col min="15905" max="15905" width="2.25" style="121" bestFit="1" customWidth="1"/>
    <col min="15906" max="15906" width="20.625" style="121" customWidth="1"/>
    <col min="15907" max="15907" width="2.25" style="121" bestFit="1" customWidth="1"/>
    <col min="15908" max="15908" width="20.625" style="121" customWidth="1"/>
    <col min="15909" max="15909" width="2.25" style="121" bestFit="1" customWidth="1"/>
    <col min="15910" max="15910" width="20.625" style="121" customWidth="1"/>
    <col min="15911" max="15911" width="2.25" style="121" bestFit="1" customWidth="1"/>
    <col min="15912" max="15912" width="20.625" style="121" customWidth="1"/>
    <col min="15913" max="15913" width="2.25" style="121" bestFit="1" customWidth="1"/>
    <col min="15914" max="15914" width="20.625" style="121" customWidth="1"/>
    <col min="15915" max="15915" width="2.25" style="121" bestFit="1" customWidth="1"/>
    <col min="15916" max="15916" width="20.625" style="121" customWidth="1"/>
    <col min="15917" max="15917" width="2.25" style="121" bestFit="1" customWidth="1"/>
    <col min="15918" max="15918" width="20.625" style="121" customWidth="1"/>
    <col min="15919" max="15919" width="2.25" style="121" bestFit="1" customWidth="1"/>
    <col min="15920" max="15920" width="20.625" style="121" customWidth="1"/>
    <col min="15921" max="15921" width="2.25" style="121" bestFit="1" customWidth="1"/>
    <col min="15922" max="15922" width="20.625" style="121" customWidth="1"/>
    <col min="15923" max="16128" width="9" style="121"/>
    <col min="16129" max="16129" width="15.625" style="121" customWidth="1"/>
    <col min="16130" max="16153" width="0" style="121" hidden="1" customWidth="1"/>
    <col min="16154" max="16154" width="3.625" style="121" customWidth="1"/>
    <col min="16155" max="16155" width="8.25" style="121" bestFit="1" customWidth="1"/>
    <col min="16156" max="16156" width="20.625" style="121" customWidth="1"/>
    <col min="16157" max="16157" width="2.25" style="121" bestFit="1" customWidth="1"/>
    <col min="16158" max="16158" width="20.625" style="121" customWidth="1"/>
    <col min="16159" max="16159" width="2.25" style="121" bestFit="1" customWidth="1"/>
    <col min="16160" max="16160" width="20.625" style="121" customWidth="1"/>
    <col min="16161" max="16161" width="2.25" style="121" bestFit="1" customWidth="1"/>
    <col min="16162" max="16162" width="20.625" style="121" customWidth="1"/>
    <col min="16163" max="16163" width="2.25" style="121" bestFit="1" customWidth="1"/>
    <col min="16164" max="16164" width="20.625" style="121" customWidth="1"/>
    <col min="16165" max="16165" width="2.25" style="121" bestFit="1" customWidth="1"/>
    <col min="16166" max="16166" width="20.625" style="121" customWidth="1"/>
    <col min="16167" max="16167" width="2.25" style="121" bestFit="1" customWidth="1"/>
    <col min="16168" max="16168" width="20.625" style="121" customWidth="1"/>
    <col min="16169" max="16169" width="2.25" style="121" bestFit="1" customWidth="1"/>
    <col min="16170" max="16170" width="20.625" style="121" customWidth="1"/>
    <col min="16171" max="16171" width="2.25" style="121" bestFit="1" customWidth="1"/>
    <col min="16172" max="16172" width="20.625" style="121" customWidth="1"/>
    <col min="16173" max="16173" width="2.25" style="121" bestFit="1" customWidth="1"/>
    <col min="16174" max="16174" width="20.625" style="121" customWidth="1"/>
    <col min="16175" max="16175" width="2.25" style="121" bestFit="1" customWidth="1"/>
    <col min="16176" max="16176" width="20.625" style="121" customWidth="1"/>
    <col min="16177" max="16177" width="2.25" style="121" bestFit="1" customWidth="1"/>
    <col min="16178" max="16178" width="20.625" style="121" customWidth="1"/>
    <col min="16179" max="16384" width="9" style="121"/>
  </cols>
  <sheetData>
    <row r="1" spans="1:53" ht="30" customHeight="1" thickBot="1">
      <c r="A1" s="127">
        <f>DATE(AA1,1,1)</f>
        <v>45658</v>
      </c>
      <c r="AA1" s="195">
        <v>2025</v>
      </c>
      <c r="AB1" s="196"/>
      <c r="AD1" s="148" t="s">
        <v>60</v>
      </c>
      <c r="AH1" s="149"/>
      <c r="AI1" s="175"/>
      <c r="AJ1" s="150"/>
      <c r="AL1" s="142">
        <v>45748</v>
      </c>
      <c r="AM1" s="175"/>
      <c r="AN1" s="144"/>
      <c r="AT1" s="142"/>
      <c r="BA1" s="121">
        <f>VALUE(RIGHT($AX$33,2))</f>
        <v>55</v>
      </c>
    </row>
    <row r="2" spans="1:53">
      <c r="A2" s="121">
        <v>3</v>
      </c>
      <c r="AA2" s="197">
        <v>4</v>
      </c>
      <c r="AB2" s="198"/>
      <c r="AC2" s="193">
        <v>5</v>
      </c>
      <c r="AD2" s="194"/>
      <c r="AE2" s="193">
        <v>6</v>
      </c>
      <c r="AF2" s="194"/>
      <c r="AG2" s="193">
        <v>7</v>
      </c>
      <c r="AH2" s="194"/>
      <c r="AI2" s="193">
        <v>8</v>
      </c>
      <c r="AJ2" s="194"/>
      <c r="AK2" s="193">
        <v>9</v>
      </c>
      <c r="AL2" s="194"/>
      <c r="AM2" s="193">
        <v>10</v>
      </c>
      <c r="AN2" s="194"/>
      <c r="AO2" s="193">
        <v>11</v>
      </c>
      <c r="AP2" s="194"/>
      <c r="AQ2" s="193">
        <v>12</v>
      </c>
      <c r="AR2" s="194"/>
      <c r="AS2" s="193">
        <v>1</v>
      </c>
      <c r="AT2" s="194"/>
      <c r="AU2" s="193">
        <v>2</v>
      </c>
      <c r="AV2" s="194"/>
      <c r="AW2" s="193">
        <v>3</v>
      </c>
      <c r="AX2" s="199"/>
    </row>
    <row r="3" spans="1:53" s="128" customFormat="1" ht="39" customHeight="1"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Z3" s="128">
        <v>1</v>
      </c>
      <c r="AA3" s="176" t="str">
        <f>"P"&amp;ROUND((DATE($AA$1,AA$2,$Z3)-$A$1)/7,0)-'1週目'!$P$2+$A$2</f>
        <v>P3</v>
      </c>
      <c r="AB3" s="140" t="str">
        <f>IF(ROUND((DATE($AA$1,AA$2,$Z4)-$A$1)/7,0)=ROUND((DATE($AA$1,AA$2,$Z3)-$A$1)/7,0),"","P"&amp;ROUND((DATE($AA$1,AA$2,$Z3)-$A$1)/7,0)-'1週目'!$P$2+$A$2)</f>
        <v/>
      </c>
      <c r="AC3" s="179" t="str">
        <f>"P"&amp;ROUND((DATE($AA$1,AC$2,$Z3)-$A$1)/7,0)-'1週目'!$P$2+$A$2</f>
        <v>P7</v>
      </c>
      <c r="AD3" s="140" t="str">
        <f>IF(ROUND((DATE($AA$1,AC$2,$Z4)-$A$1)/7,0)=ROUND((DATE($AA$1,AC$2,$Z3)-$A$1)/7,0),"","P"&amp;ROUND((DATE($AA$1,AC$2,$Z3)-$A$1)/7,0)-'1週目'!$P$2+$A$2)</f>
        <v/>
      </c>
      <c r="AE3" s="179" t="str">
        <f>"P"&amp;ROUND((DATE($AA$1,AE$2,$Z3)-$A$1)/7,0)-'1週目'!$P$2+$A$2</f>
        <v>P12</v>
      </c>
      <c r="AF3" s="140" t="str">
        <f>IF(ROUND((DATE($AA$1,AE$2,$Z4)-$A$1)/7,0)=ROUND((DATE($AA$1,AE$2,$Z3)-$A$1)/7,0),"","P"&amp;ROUND((DATE($AA$1,AE$2,$Z3)-$A$1)/7,0)-'1週目'!$P$2+$A$2)</f>
        <v/>
      </c>
      <c r="AG3" s="179" t="str">
        <f>"P"&amp;ROUND((DATE($AA$1,AG$2,$Z3)-$A$1)/7,0)-'1週目'!$P$2+$A$2</f>
        <v>P16</v>
      </c>
      <c r="AH3" s="140" t="str">
        <f>IF(ROUND((DATE($AA$1,AG$2,$Z4)-$A$1)/7,0)=ROUND((DATE($AA$1,AG$2,$Z3)-$A$1)/7,0),"","P"&amp;ROUND((DATE($AA$1,AG$2,$Z3)-$A$1)/7,0)-'1週目'!$P$2+$A$2)</f>
        <v/>
      </c>
      <c r="AI3" s="179" t="str">
        <f>"P"&amp;ROUND((DATE($AA$1,AI$2,$Z3)-$A$1)/7,0)-'1週目'!$P$2+$A$2</f>
        <v>P20</v>
      </c>
      <c r="AJ3" s="140" t="str">
        <f>IF(ROUND((DATE($AA$1,AI$2,$Z4)-$A$1)/7,0)=ROUND((DATE($AA$1,AI$2,$Z3)-$A$1)/7,0),"","P"&amp;ROUND((DATE($AA$1,AI$2,$Z3)-$A$1)/7,0)-'1週目'!$P$2+$A$2)</f>
        <v/>
      </c>
      <c r="AK3" s="179" t="str">
        <f>"P"&amp;ROUND((DATE($AA$1,AK$2,$Z3)-$A$1)/7,0)-'1週目'!$P$2+$A$2</f>
        <v>P25</v>
      </c>
      <c r="AL3" s="140" t="str">
        <f>IF(ROUND((DATE($AA$1,AK$2,$Z4)-$A$1)/7,0)=ROUND((DATE($AA$1,AK$2,$Z3)-$A$1)/7,0),"","P"&amp;ROUND((DATE($AA$1,AK$2,$Z3)-$A$1)/7,0)-'1週目'!$P$2+$A$2)</f>
        <v/>
      </c>
      <c r="AM3" s="179" t="str">
        <f>"P"&amp;ROUND((DATE($AA$1,AM$2,$Z3)-$A$1)/7,0)-'1週目'!$P$2+$A$2</f>
        <v>P29</v>
      </c>
      <c r="AN3" s="140" t="str">
        <f>IF(ROUND((DATE($AA$1,AM$2,$Z4)-$A$1)/7,0)=ROUND((DATE($AA$1,AM$2,$Z3)-$A$1)/7,0),"","P"&amp;ROUND((DATE($AA$1,AM$2,$Z3)-$A$1)/7,0)-'1週目'!$P$2+$A$2)</f>
        <v/>
      </c>
      <c r="AO3" s="179" t="str">
        <f>"P"&amp;ROUND((DATE($AA$1,AO$2,$Z3)-$A$1)/7,0)-'1週目'!$P$2+$A$2</f>
        <v>P33</v>
      </c>
      <c r="AP3" s="140" t="str">
        <f>IF(ROUND((DATE($AA$1,AO$2,$Z4)-$A$1)/7,0)=ROUND((DATE($AA$1,AO$2,$Z3)-$A$1)/7,0),"","P"&amp;ROUND((DATE($AA$1,AO$2,$Z3)-$A$1)/7,0)-'1週目'!$P$2+$A$2)</f>
        <v>P33</v>
      </c>
      <c r="AQ3" s="179" t="str">
        <f>"P"&amp;ROUND((DATE($AA$1,AQ$2,$Z3)-$A$1)/7,0)-'1週目'!$P$2+$A$2</f>
        <v>P38</v>
      </c>
      <c r="AR3" s="140" t="str">
        <f>IF(ROUND((DATE($AA$1,AQ$2,$Z4)-$A$1)/7,0)=ROUND((DATE($AA$1,AQ$2,$Z3)-$A$1)/7,0),"","P"&amp;ROUND((DATE($AA$1,AQ$2,$Z3)-$A$1)/7,0)-'1週目'!$P$2+$A$2)</f>
        <v/>
      </c>
      <c r="AS3" s="179" t="str">
        <f>"P"&amp;ROUND((DATE($AA$1+1,AS$2,$Z3)-$A$1)/7,0)-'1週目'!$P$2+$A$2</f>
        <v>P42</v>
      </c>
      <c r="AT3" s="140" t="str">
        <f>IF(ROUND((DATE($AA$1+1,AS$2,$Z4)-$A$1)/7,0)=ROUND((DATE($AA$1+1,AS$2,$Z3)-$A$1)/7,0),"","P"&amp;ROUND((DATE($AA$1+1,AS$2,$Z3)-$A$1)/7,0)-'1週目'!$P$2+$A$2)</f>
        <v/>
      </c>
      <c r="AU3" s="179" t="str">
        <f>"P"&amp;ROUND((DATE($AA$1+1,AU$2,$Z3)-$A$1)/7,0)-'1週目'!$P$2+$A$2</f>
        <v>P47</v>
      </c>
      <c r="AV3" s="140" t="str">
        <f>IF(ROUND((DATE($AA$1+1,AU$2,$Z4)-$A$1)/7,0)=ROUND((DATE($AA$1+1,AU$2,$Z3)-$A$1)/7,0),"","P"&amp;ROUND((DATE($AA$1+1,AU$2,$Z3)-$A$1)/7,0)-'1週目'!$P$2+$A$2)</f>
        <v/>
      </c>
      <c r="AW3" s="179" t="str">
        <f>"P"&amp;ROUND((DATE($AA$1+1,AW$2,$Z3)-$A$1)/7,0)-'1週目'!$P$2+$A$2</f>
        <v>P51</v>
      </c>
      <c r="AX3" s="146" t="str">
        <f>IF(ROUND((DATE($AA$1+1,AW$2,$Z4)-$A$1)/7,0)=ROUND((DATE($AA$1+1,AW$2,$Z3)-$A$1)/7,0),"","P"&amp;ROUND((DATE($AA$1+1,AW$2,$Z3)-$A$1)/7,0)-'1週目'!$P$2+$A$2)</f>
        <v/>
      </c>
    </row>
    <row r="4" spans="1:53" s="128" customFormat="1" ht="39" customHeight="1"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Z4" s="128">
        <v>2</v>
      </c>
      <c r="AA4" s="176" t="str">
        <f>IF(ROUND((DATE($AA$1,AA$2,$Z3)-$A$1)/7,0)=ROUND((DATE($AA$1,AA$2,$Z4)-$A$1)/7,0),"","P"&amp;ROUND((DATE($AA$1,AA$2,$Z4)-$A$1)/7,0)-'1週目'!$P$2+$A$2)</f>
        <v/>
      </c>
      <c r="AB4" s="140" t="str">
        <f>IF(ROUND((DATE($AA$1,AA$2,$Z5)-$A$1)/7,0)=ROUND((DATE($AA$1,AA$2,$Z4)-$A$1)/7,0),"","P"&amp;ROUND((DATE($AA$1,AA$2,$Z4)-$A$1)/7,0)-'1週目'!$P$2+$A$2)</f>
        <v/>
      </c>
      <c r="AC4" s="179" t="str">
        <f>IF(ROUND((DATE($AA$1,AC$2,$Z3)-$A$1)/7,0)=ROUND((DATE($AA$1,AC$2,$Z4)-$A$1)/7,0),"","P"&amp;ROUND((DATE($AA$1,AC$2,$Z4)-$A$1)/7,0)-'1週目'!$P$2+$A$2)</f>
        <v/>
      </c>
      <c r="AD4" s="140" t="str">
        <f>IF(ROUND((DATE($AA$1,AC$2,$Z5)-$A$1)/7,0)=ROUND((DATE($AA$1,AC$2,$Z4)-$A$1)/7,0),"","P"&amp;ROUND((DATE($AA$1,AC$2,$Z4)-$A$1)/7,0)-'1週目'!$P$2+$A$2)</f>
        <v/>
      </c>
      <c r="AE4" s="179" t="str">
        <f>IF(ROUND((DATE($AA$1,AE$2,$Z3)-$A$1)/7,0)=ROUND((DATE($AA$1,AE$2,$Z4)-$A$1)/7,0),"","P"&amp;ROUND((DATE($AA$1,AE$2,$Z4)-$A$1)/7,0)-'1週目'!$P$2+$A$2)</f>
        <v/>
      </c>
      <c r="AF4" s="140" t="str">
        <f>IF(ROUND((DATE($AA$1,AE$2,$Z5)-$A$1)/7,0)=ROUND((DATE($AA$1,AE$2,$Z4)-$A$1)/7,0),"","P"&amp;ROUND((DATE($AA$1,AE$2,$Z4)-$A$1)/7,0)-'1週目'!$P$2+$A$2)</f>
        <v/>
      </c>
      <c r="AG4" s="179" t="str">
        <f>IF(ROUND((DATE($AA$1,AG$2,$Z3)-$A$1)/7,0)=ROUND((DATE($AA$1,AG$2,$Z4)-$A$1)/7,0),"","P"&amp;ROUND((DATE($AA$1,AG$2,$Z4)-$A$1)/7,0)-'1週目'!$P$2+$A$2)</f>
        <v/>
      </c>
      <c r="AH4" s="140" t="str">
        <f>IF(ROUND((DATE($AA$1,AG$2,$Z5)-$A$1)/7,0)=ROUND((DATE($AA$1,AG$2,$Z4)-$A$1)/7,0),"","P"&amp;ROUND((DATE($AA$1,AG$2,$Z4)-$A$1)/7,0)-'1週目'!$P$2+$A$2)</f>
        <v/>
      </c>
      <c r="AI4" s="179" t="str">
        <f>IF(ROUND((DATE($AA$1,AI$2,$Z3)-$A$1)/7,0)=ROUND((DATE($AA$1,AI$2,$Z4)-$A$1)/7,0),"","P"&amp;ROUND((DATE($AA$1,AI$2,$Z4)-$A$1)/7,0)-'1週目'!$P$2+$A$2)</f>
        <v/>
      </c>
      <c r="AJ4" s="140" t="str">
        <f>IF(ROUND((DATE($AA$1,AI$2,$Z5)-$A$1)/7,0)=ROUND((DATE($AA$1,AI$2,$Z4)-$A$1)/7,0),"","P"&amp;ROUND((DATE($AA$1,AI$2,$Z4)-$A$1)/7,0)-'1週目'!$P$2+$A$2)</f>
        <v>P20</v>
      </c>
      <c r="AK4" s="179" t="str">
        <f>IF(ROUND((DATE($AA$1,AK$2,$Z3)-$A$1)/7,0)=ROUND((DATE($AA$1,AK$2,$Z4)-$A$1)/7,0),"","P"&amp;ROUND((DATE($AA$1,AK$2,$Z4)-$A$1)/7,0)-'1週目'!$P$2+$A$2)</f>
        <v/>
      </c>
      <c r="AL4" s="140" t="str">
        <f>IF(ROUND((DATE($AA$1,AK$2,$Z5)-$A$1)/7,0)=ROUND((DATE($AA$1,AK$2,$Z4)-$A$1)/7,0),"","P"&amp;ROUND((DATE($AA$1,AK$2,$Z4)-$A$1)/7,0)-'1週目'!$P$2+$A$2)</f>
        <v/>
      </c>
      <c r="AM4" s="179" t="str">
        <f>IF(ROUND((DATE($AA$1,AM$2,$Z3)-$A$1)/7,0)=ROUND((DATE($AA$1,AM$2,$Z4)-$A$1)/7,0),"","P"&amp;ROUND((DATE($AA$1,AM$2,$Z4)-$A$1)/7,0)-'1週目'!$P$2+$A$2)</f>
        <v/>
      </c>
      <c r="AN4" s="140" t="str">
        <f>IF(ROUND((DATE($AA$1,AM$2,$Z5)-$A$1)/7,0)=ROUND((DATE($AA$1,AM$2,$Z4)-$A$1)/7,0),"","P"&amp;ROUND((DATE($AA$1,AM$2,$Z4)-$A$1)/7,0)-'1週目'!$P$2+$A$2)</f>
        <v/>
      </c>
      <c r="AO4" s="179" t="str">
        <f>IF(ROUND((DATE($AA$1,AO$2,$Z3)-$A$1)/7,0)=ROUND((DATE($AA$1,AO$2,$Z4)-$A$1)/7,0),"","P"&amp;ROUND((DATE($AA$1,AO$2,$Z4)-$A$1)/7,0)-'1週目'!$P$2+$A$2)</f>
        <v>P34</v>
      </c>
      <c r="AP4" s="140" t="str">
        <f>IF(ROUND((DATE($AA$1,AO$2,$Z5)-$A$1)/7,0)=ROUND((DATE($AA$1,AO$2,$Z4)-$A$1)/7,0),"","P"&amp;ROUND((DATE($AA$1,AO$2,$Z4)-$A$1)/7,0)-'1週目'!$P$2+$A$2)</f>
        <v/>
      </c>
      <c r="AQ4" s="179" t="str">
        <f>IF(ROUND((DATE($AA$1,AQ$2,$Z3)-$A$1)/7,0)=ROUND((DATE($AA$1,AQ$2,$Z4)-$A$1)/7,0),"","P"&amp;ROUND((DATE($AA$1,AQ$2,$Z4)-$A$1)/7,0)-'1週目'!$P$2+$A$2)</f>
        <v/>
      </c>
      <c r="AR4" s="140" t="str">
        <f>IF(ROUND((DATE($AA$1,AQ$2,$Z5)-$A$1)/7,0)=ROUND((DATE($AA$1,AQ$2,$Z4)-$A$1)/7,0),"","P"&amp;ROUND((DATE($AA$1,AQ$2,$Z4)-$A$1)/7,0)-'1週目'!$P$2+$A$2)</f>
        <v/>
      </c>
      <c r="AS4" s="179" t="str">
        <f>IF(ROUND((DATE($AA$1+1,AS$2,$Z3)-$A$1)/7,0)=ROUND((DATE($AA$1+1,AS$2,$Z4)-$A$1)/7,0),"","P"&amp;ROUND((DATE($AA$1+1,AS$2,$Z4)-$A$1)/7,0)-'1週目'!$P$2+$A$2)</f>
        <v/>
      </c>
      <c r="AT4" s="140" t="str">
        <f>IF(ROUND((DATE($AA$1+1,AS$2,$Z5)-$A$1)/7,0)=ROUND((DATE($AA$1+1,AS$2,$Z4)-$A$1)/7,0),"","P"&amp;ROUND((DATE($AA$1+1,AS$2,$Z4)-$A$1)/7,0)-'1週目'!$P$2+$A$2)</f>
        <v/>
      </c>
      <c r="AU4" s="179" t="str">
        <f>IF(ROUND((DATE($AA$1+1,AU$2,$Z3)-$A$1)/7,0)=ROUND((DATE($AA$1+1,AU$2,$Z4)-$A$1)/7,0),"","P"&amp;ROUND((DATE($AA$1+1,AU$2,$Z4)-$A$1)/7,0)-'1週目'!$P$2+$A$2)</f>
        <v/>
      </c>
      <c r="AV4" s="140" t="str">
        <f>IF(ROUND((DATE($AA$1+1,AU$2,$Z5)-$A$1)/7,0)=ROUND((DATE($AA$1+1,AU$2,$Z4)-$A$1)/7,0),"","P"&amp;ROUND((DATE($AA$1+1,AU$2,$Z4)-$A$1)/7,0)-'1週目'!$P$2+$A$2)</f>
        <v/>
      </c>
      <c r="AW4" s="179" t="str">
        <f>IF(ROUND((DATE($AA$1+1,AW$2,$Z3)-$A$1)/7,0)=ROUND((DATE($AA$1+1,AW$2,$Z4)-$A$1)/7,0),"","P"&amp;ROUND((DATE($AA$1+1,AW$2,$Z4)-$A$1)/7,0)-'1週目'!$P$2+$A$2)</f>
        <v/>
      </c>
      <c r="AX4" s="146" t="str">
        <f>IF(ROUND((DATE($AA$1+1,AW$2,$Z5)-$A$1)/7,0)=ROUND((DATE($AA$1+1,AW$2,$Z4)-$A$1)/7,0),"","P"&amp;ROUND((DATE($AA$1+1,AW$2,$Z4)-$A$1)/7,0)-'1週目'!$P$2+$A$2)</f>
        <v/>
      </c>
    </row>
    <row r="5" spans="1:53" s="128" customFormat="1" ht="39" customHeight="1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Z5" s="128">
        <v>3</v>
      </c>
      <c r="AA5" s="177" t="str">
        <f>IF(ROUND((DATE($AA$1,AA$2,$Z4)-$A$1)/7,0)=ROUND((DATE($AA$1,AA$2,$Z5)-$A$1)/7,0),"","P"&amp;ROUND((DATE($AA$1,AA$2,$Z5)-$A$1)/7,0)-'1週目'!$P$2+$A$2)</f>
        <v/>
      </c>
      <c r="AB5" s="140" t="str">
        <f>IF(ROUND((DATE($AA$1,AA$2,$Z6)-$A$1)/7,0)=ROUND((DATE($AA$1,AA$2,$Z5)-$A$1)/7,0),"","P"&amp;ROUND((DATE($AA$1,AA$2,$Z5)-$A$1)/7,0)-'1週目'!$P$2+$A$2)</f>
        <v/>
      </c>
      <c r="AC5" s="179" t="str">
        <f>IF(ROUND((DATE($AA$1,AC$2,$Z4)-$A$1)/7,0)=ROUND((DATE($AA$1,AC$2,$Z5)-$A$1)/7,0),"","P"&amp;ROUND((DATE($AA$1,AC$2,$Z5)-$A$1)/7,0)-'1週目'!$P$2+$A$2)</f>
        <v/>
      </c>
      <c r="AD5" s="140" t="str">
        <f>IF(ROUND((DATE($AA$1,AC$2,$Z6)-$A$1)/7,0)=ROUND((DATE($AA$1,AC$2,$Z5)-$A$1)/7,0),"","P"&amp;ROUND((DATE($AA$1,AC$2,$Z5)-$A$1)/7,0)-'1週目'!$P$2+$A$2)</f>
        <v>P7</v>
      </c>
      <c r="AE5" s="179" t="str">
        <f>IF(ROUND((DATE($AA$1,AE$2,$Z4)-$A$1)/7,0)=ROUND((DATE($AA$1,AE$2,$Z5)-$A$1)/7,0),"","P"&amp;ROUND((DATE($AA$1,AE$2,$Z5)-$A$1)/7,0)-'1週目'!$P$2+$A$2)</f>
        <v/>
      </c>
      <c r="AF5" s="140" t="str">
        <f>IF(ROUND((DATE($AA$1,AE$2,$Z6)-$A$1)/7,0)=ROUND((DATE($AA$1,AE$2,$Z5)-$A$1)/7,0),"","P"&amp;ROUND((DATE($AA$1,AE$2,$Z5)-$A$1)/7,0)-'1週目'!$P$2+$A$2)</f>
        <v/>
      </c>
      <c r="AG5" s="179" t="str">
        <f>IF(ROUND((DATE($AA$1,AG$2,$Z4)-$A$1)/7,0)=ROUND((DATE($AA$1,AG$2,$Z5)-$A$1)/7,0),"","P"&amp;ROUND((DATE($AA$1,AG$2,$Z5)-$A$1)/7,0)-'1週目'!$P$2+$A$2)</f>
        <v/>
      </c>
      <c r="AH5" s="140" t="str">
        <f>IF(ROUND((DATE($AA$1,AG$2,$Z6)-$A$1)/7,0)=ROUND((DATE($AA$1,AG$2,$Z5)-$A$1)/7,0),"","P"&amp;ROUND((DATE($AA$1,AG$2,$Z5)-$A$1)/7,0)-'1週目'!$P$2+$A$2)</f>
        <v/>
      </c>
      <c r="AI5" s="179" t="str">
        <f>IF(ROUND((DATE($AA$1,AI$2,$Z4)-$A$1)/7,0)=ROUND((DATE($AA$1,AI$2,$Z5)-$A$1)/7,0),"","P"&amp;ROUND((DATE($AA$1,AI$2,$Z5)-$A$1)/7,0)-'1週目'!$P$2+$A$2)</f>
        <v>P21</v>
      </c>
      <c r="AJ5" s="140" t="str">
        <f>IF(ROUND((DATE($AA$1,AI$2,$Z6)-$A$1)/7,0)=ROUND((DATE($AA$1,AI$2,$Z5)-$A$1)/7,0),"","P"&amp;ROUND((DATE($AA$1,AI$2,$Z5)-$A$1)/7,0)-'1週目'!$P$2+$A$2)</f>
        <v/>
      </c>
      <c r="AK5" s="179" t="str">
        <f>IF(ROUND((DATE($AA$1,AK$2,$Z4)-$A$1)/7,0)=ROUND((DATE($AA$1,AK$2,$Z5)-$A$1)/7,0),"","P"&amp;ROUND((DATE($AA$1,AK$2,$Z5)-$A$1)/7,0)-'1週目'!$P$2+$A$2)</f>
        <v/>
      </c>
      <c r="AL5" s="140" t="str">
        <f>IF(ROUND((DATE($AA$1,AK$2,$Z6)-$A$1)/7,0)=ROUND((DATE($AA$1,AK$2,$Z5)-$A$1)/7,0),"","P"&amp;ROUND((DATE($AA$1,AK$2,$Z5)-$A$1)/7,0)-'1週目'!$P$2+$A$2)</f>
        <v/>
      </c>
      <c r="AM5" s="179" t="str">
        <f>IF(ROUND((DATE($AA$1,AM$2,$Z4)-$A$1)/7,0)=ROUND((DATE($AA$1,AM$2,$Z5)-$A$1)/7,0),"","P"&amp;ROUND((DATE($AA$1,AM$2,$Z5)-$A$1)/7,0)-'1週目'!$P$2+$A$2)</f>
        <v/>
      </c>
      <c r="AN5" s="140" t="str">
        <f>IF(ROUND((DATE($AA$1,AM$2,$Z6)-$A$1)/7,0)=ROUND((DATE($AA$1,AM$2,$Z5)-$A$1)/7,0),"","P"&amp;ROUND((DATE($AA$1,AM$2,$Z5)-$A$1)/7,0)-'1週目'!$P$2+$A$2)</f>
        <v/>
      </c>
      <c r="AO5" s="179" t="str">
        <f>IF(ROUND((DATE($AA$1,AO$2,$Z4)-$A$1)/7,0)=ROUND((DATE($AA$1,AO$2,$Z5)-$A$1)/7,0),"","P"&amp;ROUND((DATE($AA$1,AO$2,$Z5)-$A$1)/7,0)-'1週目'!$P$2+$A$2)</f>
        <v/>
      </c>
      <c r="AP5" s="140" t="str">
        <f>IF(ROUND((DATE($AA$1,AO$2,$Z6)-$A$1)/7,0)=ROUND((DATE($AA$1,AO$2,$Z5)-$A$1)/7,0),"","P"&amp;ROUND((DATE($AA$1,AO$2,$Z5)-$A$1)/7,0)-'1週目'!$P$2+$A$2)</f>
        <v/>
      </c>
      <c r="AQ5" s="179" t="str">
        <f>IF(ROUND((DATE($AA$1,AQ$2,$Z4)-$A$1)/7,0)=ROUND((DATE($AA$1,AQ$2,$Z5)-$A$1)/7,0),"","P"&amp;ROUND((DATE($AA$1,AQ$2,$Z5)-$A$1)/7,0)-'1週目'!$P$2+$A$2)</f>
        <v/>
      </c>
      <c r="AR5" s="140" t="str">
        <f>IF(ROUND((DATE($AA$1,AQ$2,$Z6)-$A$1)/7,0)=ROUND((DATE($AA$1,AQ$2,$Z5)-$A$1)/7,0),"","P"&amp;ROUND((DATE($AA$1,AQ$2,$Z5)-$A$1)/7,0)-'1週目'!$P$2+$A$2)</f>
        <v/>
      </c>
      <c r="AS5" s="179" t="str">
        <f>IF(ROUND((DATE($AA$1+1,AS$2,$Z4)-$A$1)/7,0)=ROUND((DATE($AA$1+1,AS$2,$Z5)-$A$1)/7,0),"","P"&amp;ROUND((DATE($AA$1+1,AS$2,$Z5)-$A$1)/7,0)-'1週目'!$P$2+$A$2)</f>
        <v/>
      </c>
      <c r="AT5" s="140" t="str">
        <f>IF(ROUND((DATE($AA$1+1,AS$2,$Z6)-$A$1)/7,0)=ROUND((DATE($AA$1+1,AS$2,$Z5)-$A$1)/7,0),"","P"&amp;ROUND((DATE($AA$1+1,AS$2,$Z5)-$A$1)/7,0)-'1週目'!$P$2+$A$2)</f>
        <v>P42</v>
      </c>
      <c r="AU5" s="179" t="str">
        <f>IF(ROUND((DATE($AA$1+1,AU$2,$Z4)-$A$1)/7,0)=ROUND((DATE($AA$1+1,AU$2,$Z5)-$A$1)/7,0),"","P"&amp;ROUND((DATE($AA$1+1,AU$2,$Z5)-$A$1)/7,0)-'1週目'!$P$2+$A$2)</f>
        <v/>
      </c>
      <c r="AV5" s="140" t="str">
        <f>IF(ROUND((DATE($AA$1+1,AU$2,$Z6)-$A$1)/7,0)=ROUND((DATE($AA$1+1,AU$2,$Z5)-$A$1)/7,0),"","P"&amp;ROUND((DATE($AA$1+1,AU$2,$Z5)-$A$1)/7,0)-'1週目'!$P$2+$A$2)</f>
        <v/>
      </c>
      <c r="AW5" s="179" t="str">
        <f>IF(ROUND((DATE($AA$1+1,AW$2,$Z4)-$A$1)/7,0)=ROUND((DATE($AA$1+1,AW$2,$Z5)-$A$1)/7,0),"","P"&amp;ROUND((DATE($AA$1+1,AW$2,$Z5)-$A$1)/7,0)-'1週目'!$P$2+$A$2)</f>
        <v/>
      </c>
      <c r="AX5" s="146" t="str">
        <f>IF(ROUND((DATE($AA$1+1,AW$2,$Z6)-$A$1)/7,0)=ROUND((DATE($AA$1+1,AW$2,$Z5)-$A$1)/7,0),"","P"&amp;ROUND((DATE($AA$1+1,AW$2,$Z5)-$A$1)/7,0)-'1週目'!$P$2+$A$2)</f>
        <v/>
      </c>
    </row>
    <row r="6" spans="1:53" s="128" customFormat="1" ht="39" customHeight="1"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Z6" s="128">
        <v>4</v>
      </c>
      <c r="AA6" s="177" t="str">
        <f>IF(ROUND((DATE($AA$1,AA$2,$Z5)-$A$1)/7,0)=ROUND((DATE($AA$1,AA$2,$Z6)-$A$1)/7,0),"","P"&amp;ROUND((DATE($AA$1,AA$2,$Z6)-$A$1)/7,0)-'1週目'!$P$2+$A$2)</f>
        <v/>
      </c>
      <c r="AB6" s="140" t="str">
        <f>IF(ROUND((DATE($AA$1,AA$2,$Z7)-$A$1)/7,0)=ROUND((DATE($AA$1,AA$2,$Z6)-$A$1)/7,0),"","P"&amp;ROUND((DATE($AA$1,AA$2,$Z6)-$A$1)/7,0)-'1週目'!$P$2+$A$2)</f>
        <v/>
      </c>
      <c r="AC6" s="179" t="str">
        <f>IF(ROUND((DATE($AA$1,AC$2,$Z5)-$A$1)/7,0)=ROUND((DATE($AA$1,AC$2,$Z6)-$A$1)/7,0),"","P"&amp;ROUND((DATE($AA$1,AC$2,$Z6)-$A$1)/7,0)-'1週目'!$P$2+$A$2)</f>
        <v>P8</v>
      </c>
      <c r="AD6" s="140" t="str">
        <f>IF(ROUND((DATE($AA$1,AC$2,$Z7)-$A$1)/7,0)=ROUND((DATE($AA$1,AC$2,$Z6)-$A$1)/7,0),"","P"&amp;ROUND((DATE($AA$1,AC$2,$Z6)-$A$1)/7,0)-'1週目'!$P$2+$A$2)</f>
        <v/>
      </c>
      <c r="AE6" s="179" t="str">
        <f>IF(ROUND((DATE($AA$1,AE$2,$Z5)-$A$1)/7,0)=ROUND((DATE($AA$1,AE$2,$Z6)-$A$1)/7,0),"","P"&amp;ROUND((DATE($AA$1,AE$2,$Z6)-$A$1)/7,0)-'1週目'!$P$2+$A$2)</f>
        <v/>
      </c>
      <c r="AF6" s="140" t="str">
        <f>IF(ROUND((DATE($AA$1,AE$2,$Z7)-$A$1)/7,0)=ROUND((DATE($AA$1,AE$2,$Z6)-$A$1)/7,0),"","P"&amp;ROUND((DATE($AA$1,AE$2,$Z6)-$A$1)/7,0)-'1週目'!$P$2+$A$2)</f>
        <v/>
      </c>
      <c r="AG6" s="179" t="str">
        <f>IF(ROUND((DATE($AA$1,AG$2,$Z5)-$A$1)/7,0)=ROUND((DATE($AA$1,AG$2,$Z6)-$A$1)/7,0),"","P"&amp;ROUND((DATE($AA$1,AG$2,$Z6)-$A$1)/7,0)-'1週目'!$P$2+$A$2)</f>
        <v/>
      </c>
      <c r="AH6" s="140" t="str">
        <f>IF(ROUND((DATE($AA$1,AG$2,$Z7)-$A$1)/7,0)=ROUND((DATE($AA$1,AG$2,$Z6)-$A$1)/7,0),"","P"&amp;ROUND((DATE($AA$1,AG$2,$Z6)-$A$1)/7,0)-'1週目'!$P$2+$A$2)</f>
        <v/>
      </c>
      <c r="AI6" s="179" t="str">
        <f>IF(ROUND((DATE($AA$1,AI$2,$Z5)-$A$1)/7,0)=ROUND((DATE($AA$1,AI$2,$Z6)-$A$1)/7,0),"","P"&amp;ROUND((DATE($AA$1,AI$2,$Z6)-$A$1)/7,0)-'1週目'!$P$2+$A$2)</f>
        <v/>
      </c>
      <c r="AJ6" s="140" t="str">
        <f>IF(ROUND((DATE($AA$1,AI$2,$Z7)-$A$1)/7,0)=ROUND((DATE($AA$1,AI$2,$Z6)-$A$1)/7,0),"","P"&amp;ROUND((DATE($AA$1,AI$2,$Z6)-$A$1)/7,0)-'1週目'!$P$2+$A$2)</f>
        <v/>
      </c>
      <c r="AK6" s="179" t="str">
        <f>IF(ROUND((DATE($AA$1,AK$2,$Z5)-$A$1)/7,0)=ROUND((DATE($AA$1,AK$2,$Z6)-$A$1)/7,0),"","P"&amp;ROUND((DATE($AA$1,AK$2,$Z6)-$A$1)/7,0)-'1週目'!$P$2+$A$2)</f>
        <v/>
      </c>
      <c r="AL6" s="140" t="str">
        <f>IF(ROUND((DATE($AA$1,AK$2,$Z7)-$A$1)/7,0)=ROUND((DATE($AA$1,AK$2,$Z6)-$A$1)/7,0),"","P"&amp;ROUND((DATE($AA$1,AK$2,$Z6)-$A$1)/7,0)-'1週目'!$P$2+$A$2)</f>
        <v/>
      </c>
      <c r="AM6" s="179" t="str">
        <f>IF(ROUND((DATE($AA$1,AM$2,$Z5)-$A$1)/7,0)=ROUND((DATE($AA$1,AM$2,$Z6)-$A$1)/7,0),"","P"&amp;ROUND((DATE($AA$1,AM$2,$Z6)-$A$1)/7,0)-'1週目'!$P$2+$A$2)</f>
        <v/>
      </c>
      <c r="AN6" s="140" t="str">
        <f>IF(ROUND((DATE($AA$1,AM$2,$Z7)-$A$1)/7,0)=ROUND((DATE($AA$1,AM$2,$Z6)-$A$1)/7,0),"","P"&amp;ROUND((DATE($AA$1,AM$2,$Z6)-$A$1)/7,0)-'1週目'!$P$2+$A$2)</f>
        <v>P29</v>
      </c>
      <c r="AO6" s="179" t="str">
        <f>IF(ROUND((DATE($AA$1,AO$2,$Z5)-$A$1)/7,0)=ROUND((DATE($AA$1,AO$2,$Z6)-$A$1)/7,0),"","P"&amp;ROUND((DATE($AA$1,AO$2,$Z6)-$A$1)/7,0)-'1週目'!$P$2+$A$2)</f>
        <v/>
      </c>
      <c r="AP6" s="140" t="str">
        <f>IF(ROUND((DATE($AA$1,AO$2,$Z7)-$A$1)/7,0)=ROUND((DATE($AA$1,AO$2,$Z6)-$A$1)/7,0),"","P"&amp;ROUND((DATE($AA$1,AO$2,$Z6)-$A$1)/7,0)-'1週目'!$P$2+$A$2)</f>
        <v/>
      </c>
      <c r="AQ6" s="179" t="str">
        <f>IF(ROUND((DATE($AA$1,AQ$2,$Z5)-$A$1)/7,0)=ROUND((DATE($AA$1,AQ$2,$Z6)-$A$1)/7,0),"","P"&amp;ROUND((DATE($AA$1,AQ$2,$Z6)-$A$1)/7,0)-'1週目'!$P$2+$A$2)</f>
        <v/>
      </c>
      <c r="AR6" s="140" t="str">
        <f>IF(ROUND((DATE($AA$1,AQ$2,$Z7)-$A$1)/7,0)=ROUND((DATE($AA$1,AQ$2,$Z6)-$A$1)/7,0),"","P"&amp;ROUND((DATE($AA$1,AQ$2,$Z6)-$A$1)/7,0)-'1週目'!$P$2+$A$2)</f>
        <v/>
      </c>
      <c r="AS6" s="179" t="str">
        <f>IF(ROUND((DATE($AA$1+1,AS$2,$Z5)-$A$1)/7,0)=ROUND((DATE($AA$1+1,AS$2,$Z6)-$A$1)/7,0),"","P"&amp;ROUND((DATE($AA$1+1,AS$2,$Z6)-$A$1)/7,0)-'1週目'!$P$2+$A$2)</f>
        <v>P43</v>
      </c>
      <c r="AT6" s="140" t="str">
        <f>IF(ROUND((DATE($AA$1+1,AS$2,$Z7)-$A$1)/7,0)=ROUND((DATE($AA$1+1,AS$2,$Z6)-$A$1)/7,0),"","P"&amp;ROUND((DATE($AA$1+1,AS$2,$Z6)-$A$1)/7,0)-'1週目'!$P$2+$A$2)</f>
        <v/>
      </c>
      <c r="AU6" s="179" t="str">
        <f>IF(ROUND((DATE($AA$1+1,AU$2,$Z5)-$A$1)/7,0)=ROUND((DATE($AA$1+1,AU$2,$Z6)-$A$1)/7,0),"","P"&amp;ROUND((DATE($AA$1+1,AU$2,$Z6)-$A$1)/7,0)-'1週目'!$P$2+$A$2)</f>
        <v/>
      </c>
      <c r="AV6" s="140" t="str">
        <f>IF(ROUND((DATE($AA$1+1,AU$2,$Z7)-$A$1)/7,0)=ROUND((DATE($AA$1+1,AU$2,$Z6)-$A$1)/7,0),"","P"&amp;ROUND((DATE($AA$1+1,AU$2,$Z6)-$A$1)/7,0)-'1週目'!$P$2+$A$2)</f>
        <v/>
      </c>
      <c r="AW6" s="179" t="str">
        <f>IF(ROUND((DATE($AA$1+1,AW$2,$Z5)-$A$1)/7,0)=ROUND((DATE($AA$1+1,AW$2,$Z6)-$A$1)/7,0),"","P"&amp;ROUND((DATE($AA$1+1,AW$2,$Z6)-$A$1)/7,0)-'1週目'!$P$2+$A$2)</f>
        <v/>
      </c>
      <c r="AX6" s="146" t="str">
        <f>IF(ROUND((DATE($AA$1+1,AW$2,$Z7)-$A$1)/7,0)=ROUND((DATE($AA$1+1,AW$2,$Z6)-$A$1)/7,0),"","P"&amp;ROUND((DATE($AA$1+1,AW$2,$Z6)-$A$1)/7,0)-'1週目'!$P$2+$A$2)</f>
        <v/>
      </c>
    </row>
    <row r="7" spans="1:53" s="128" customFormat="1" ht="39" customHeight="1"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Z7" s="128">
        <v>5</v>
      </c>
      <c r="AA7" s="177" t="str">
        <f>IF(ROUND((DATE($AA$1,AA$2,$Z6)-$A$1)/7,0)=ROUND((DATE($AA$1,AA$2,$Z7)-$A$1)/7,0),"","P"&amp;ROUND((DATE($AA$1,AA$2,$Z7)-$A$1)/7,0)-'1週目'!$P$2+$A$2)</f>
        <v/>
      </c>
      <c r="AB7" s="140" t="str">
        <f>IF(ROUND((DATE($AA$1,AA$2,$Z8)-$A$1)/7,0)=ROUND((DATE($AA$1,AA$2,$Z7)-$A$1)/7,0),"","P"&amp;ROUND((DATE($AA$1,AA$2,$Z7)-$A$1)/7,0)-'1週目'!$P$2+$A$2)</f>
        <v>P3</v>
      </c>
      <c r="AC7" s="179" t="str">
        <f>IF(ROUND((DATE($AA$1,AC$2,$Z6)-$A$1)/7,0)=ROUND((DATE($AA$1,AC$2,$Z7)-$A$1)/7,0),"","P"&amp;ROUND((DATE($AA$1,AC$2,$Z7)-$A$1)/7,0)-'1週目'!$P$2+$A$2)</f>
        <v/>
      </c>
      <c r="AD7" s="140" t="str">
        <f>IF(ROUND((DATE($AA$1,AC$2,$Z8)-$A$1)/7,0)=ROUND((DATE($AA$1,AC$2,$Z7)-$A$1)/7,0),"","P"&amp;ROUND((DATE($AA$1,AC$2,$Z7)-$A$1)/7,0)-'1週目'!$P$2+$A$2)</f>
        <v/>
      </c>
      <c r="AE7" s="179" t="str">
        <f>IF(ROUND((DATE($AA$1,AE$2,$Z6)-$A$1)/7,0)=ROUND((DATE($AA$1,AE$2,$Z7)-$A$1)/7,0),"","P"&amp;ROUND((DATE($AA$1,AE$2,$Z7)-$A$1)/7,0)-'1週目'!$P$2+$A$2)</f>
        <v/>
      </c>
      <c r="AF7" s="140" t="str">
        <f>IF(ROUND((DATE($AA$1,AE$2,$Z8)-$A$1)/7,0)=ROUND((DATE($AA$1,AE$2,$Z7)-$A$1)/7,0),"","P"&amp;ROUND((DATE($AA$1,AE$2,$Z7)-$A$1)/7,0)-'1週目'!$P$2+$A$2)</f>
        <v/>
      </c>
      <c r="AG7" s="179" t="str">
        <f>IF(ROUND((DATE($AA$1,AG$2,$Z6)-$A$1)/7,0)=ROUND((DATE($AA$1,AG$2,$Z7)-$A$1)/7,0),"","P"&amp;ROUND((DATE($AA$1,AG$2,$Z7)-$A$1)/7,0)-'1週目'!$P$2+$A$2)</f>
        <v/>
      </c>
      <c r="AH7" s="140" t="str">
        <f>IF(ROUND((DATE($AA$1,AG$2,$Z8)-$A$1)/7,0)=ROUND((DATE($AA$1,AG$2,$Z7)-$A$1)/7,0),"","P"&amp;ROUND((DATE($AA$1,AG$2,$Z7)-$A$1)/7,0)-'1週目'!$P$2+$A$2)</f>
        <v>P16</v>
      </c>
      <c r="AI7" s="179" t="str">
        <f>IF(ROUND((DATE($AA$1,AI$2,$Z6)-$A$1)/7,0)=ROUND((DATE($AA$1,AI$2,$Z7)-$A$1)/7,0),"","P"&amp;ROUND((DATE($AA$1,AI$2,$Z7)-$A$1)/7,0)-'1週目'!$P$2+$A$2)</f>
        <v/>
      </c>
      <c r="AJ7" s="140" t="str">
        <f>IF(ROUND((DATE($AA$1,AI$2,$Z8)-$A$1)/7,0)=ROUND((DATE($AA$1,AI$2,$Z7)-$A$1)/7,0),"","P"&amp;ROUND((DATE($AA$1,AI$2,$Z7)-$A$1)/7,0)-'1週目'!$P$2+$A$2)</f>
        <v/>
      </c>
      <c r="AK7" s="179" t="str">
        <f>IF(ROUND((DATE($AA$1,AK$2,$Z6)-$A$1)/7,0)=ROUND((DATE($AA$1,AK$2,$Z7)-$A$1)/7,0),"","P"&amp;ROUND((DATE($AA$1,AK$2,$Z7)-$A$1)/7,0)-'1週目'!$P$2+$A$2)</f>
        <v/>
      </c>
      <c r="AL7" s="140" t="str">
        <f>IF(ROUND((DATE($AA$1,AK$2,$Z8)-$A$1)/7,0)=ROUND((DATE($AA$1,AK$2,$Z7)-$A$1)/7,0),"","P"&amp;ROUND((DATE($AA$1,AK$2,$Z7)-$A$1)/7,0)-'1週目'!$P$2+$A$2)</f>
        <v/>
      </c>
      <c r="AM7" s="179" t="str">
        <f>IF(ROUND((DATE($AA$1,AM$2,$Z6)-$A$1)/7,0)=ROUND((DATE($AA$1,AM$2,$Z7)-$A$1)/7,0),"","P"&amp;ROUND((DATE($AA$1,AM$2,$Z7)-$A$1)/7,0)-'1週目'!$P$2+$A$2)</f>
        <v>P30</v>
      </c>
      <c r="AN7" s="140" t="str">
        <f>IF(ROUND((DATE($AA$1,AM$2,$Z8)-$A$1)/7,0)=ROUND((DATE($AA$1,AM$2,$Z7)-$A$1)/7,0),"","P"&amp;ROUND((DATE($AA$1,AM$2,$Z7)-$A$1)/7,0)-'1週目'!$P$2+$A$2)</f>
        <v/>
      </c>
      <c r="AO7" s="179" t="str">
        <f>IF(ROUND((DATE($AA$1,AO$2,$Z6)-$A$1)/7,0)=ROUND((DATE($AA$1,AO$2,$Z7)-$A$1)/7,0),"","P"&amp;ROUND((DATE($AA$1,AO$2,$Z7)-$A$1)/7,0)-'1週目'!$P$2+$A$2)</f>
        <v/>
      </c>
      <c r="AP7" s="140" t="str">
        <f>IF(ROUND((DATE($AA$1,AO$2,$Z8)-$A$1)/7,0)=ROUND((DATE($AA$1,AO$2,$Z7)-$A$1)/7,0),"","P"&amp;ROUND((DATE($AA$1,AO$2,$Z7)-$A$1)/7,0)-'1週目'!$P$2+$A$2)</f>
        <v/>
      </c>
      <c r="AQ7" s="179" t="str">
        <f>IF(ROUND((DATE($AA$1,AQ$2,$Z6)-$A$1)/7,0)=ROUND((DATE($AA$1,AQ$2,$Z7)-$A$1)/7,0),"","P"&amp;ROUND((DATE($AA$1,AQ$2,$Z7)-$A$1)/7,0)-'1週目'!$P$2+$A$2)</f>
        <v/>
      </c>
      <c r="AR7" s="140" t="str">
        <f>IF(ROUND((DATE($AA$1,AQ$2,$Z8)-$A$1)/7,0)=ROUND((DATE($AA$1,AQ$2,$Z7)-$A$1)/7,0),"","P"&amp;ROUND((DATE($AA$1,AQ$2,$Z7)-$A$1)/7,0)-'1週目'!$P$2+$A$2)</f>
        <v/>
      </c>
      <c r="AS7" s="179" t="str">
        <f>IF(ROUND((DATE($AA$1+1,AS$2,$Z6)-$A$1)/7,0)=ROUND((DATE($AA$1+1,AS$2,$Z7)-$A$1)/7,0),"","P"&amp;ROUND((DATE($AA$1+1,AS$2,$Z7)-$A$1)/7,0)-'1週目'!$P$2+$A$2)</f>
        <v/>
      </c>
      <c r="AT7" s="140" t="str">
        <f>IF(ROUND((DATE($AA$1+1,AS$2,$Z8)-$A$1)/7,0)=ROUND((DATE($AA$1+1,AS$2,$Z7)-$A$1)/7,0),"","P"&amp;ROUND((DATE($AA$1+1,AS$2,$Z7)-$A$1)/7,0)-'1週目'!$P$2+$A$2)</f>
        <v/>
      </c>
      <c r="AU7" s="179" t="str">
        <f>IF(ROUND((DATE($AA$1+1,AU$2,$Z6)-$A$1)/7,0)=ROUND((DATE($AA$1+1,AU$2,$Z7)-$A$1)/7,0),"","P"&amp;ROUND((DATE($AA$1+1,AU$2,$Z7)-$A$1)/7,0)-'1週目'!$P$2+$A$2)</f>
        <v/>
      </c>
      <c r="AV7" s="140" t="str">
        <f>IF(ROUND((DATE($AA$1+1,AU$2,$Z8)-$A$1)/7,0)=ROUND((DATE($AA$1+1,AU$2,$Z7)-$A$1)/7,0),"","P"&amp;ROUND((DATE($AA$1+1,AU$2,$Z7)-$A$1)/7,0)-'1週目'!$P$2+$A$2)</f>
        <v/>
      </c>
      <c r="AW7" s="179" t="str">
        <f>IF(ROUND((DATE($AA$1+1,AW$2,$Z6)-$A$1)/7,0)=ROUND((DATE($AA$1+1,AW$2,$Z7)-$A$1)/7,0),"","P"&amp;ROUND((DATE($AA$1+1,AW$2,$Z7)-$A$1)/7,0)-'1週目'!$P$2+$A$2)</f>
        <v/>
      </c>
      <c r="AX7" s="146" t="str">
        <f>IF(ROUND((DATE($AA$1+1,AW$2,$Z8)-$A$1)/7,0)=ROUND((DATE($AA$1+1,AW$2,$Z7)-$A$1)/7,0),"","P"&amp;ROUND((DATE($AA$1+1,AW$2,$Z7)-$A$1)/7,0)-'1週目'!$P$2+$A$2)</f>
        <v/>
      </c>
    </row>
    <row r="8" spans="1:53" s="128" customFormat="1" ht="39" customHeight="1"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Z8" s="128">
        <v>6</v>
      </c>
      <c r="AA8" s="177" t="str">
        <f>IF(ROUND((DATE($AA$1,AA$2,$Z7)-$A$1)/7,0)=ROUND((DATE($AA$1,AA$2,$Z8)-$A$1)/7,0),"","P"&amp;ROUND((DATE($AA$1,AA$2,$Z8)-$A$1)/7,0)-'1週目'!$P$2+$A$2)</f>
        <v>P4</v>
      </c>
      <c r="AB8" s="140" t="str">
        <f>IF(ROUND((DATE($AA$1,AA$2,$Z9)-$A$1)/7,0)=ROUND((DATE($AA$1,AA$2,$Z8)-$A$1)/7,0),"","P"&amp;ROUND((DATE($AA$1,AA$2,$Z8)-$A$1)/7,0)-'1週目'!$P$2+$A$2)</f>
        <v/>
      </c>
      <c r="AC8" s="179" t="str">
        <f>IF(ROUND((DATE($AA$1,AC$2,$Z7)-$A$1)/7,0)=ROUND((DATE($AA$1,AC$2,$Z8)-$A$1)/7,0),"","P"&amp;ROUND((DATE($AA$1,AC$2,$Z8)-$A$1)/7,0)-'1週目'!$P$2+$A$2)</f>
        <v/>
      </c>
      <c r="AD8" s="140" t="str">
        <f>IF(ROUND((DATE($AA$1,AC$2,$Z9)-$A$1)/7,0)=ROUND((DATE($AA$1,AC$2,$Z8)-$A$1)/7,0),"","P"&amp;ROUND((DATE($AA$1,AC$2,$Z8)-$A$1)/7,0)-'1週目'!$P$2+$A$2)</f>
        <v/>
      </c>
      <c r="AE8" s="179" t="str">
        <f>IF(ROUND((DATE($AA$1,AE$2,$Z7)-$A$1)/7,0)=ROUND((DATE($AA$1,AE$2,$Z8)-$A$1)/7,0),"","P"&amp;ROUND((DATE($AA$1,AE$2,$Z8)-$A$1)/7,0)-'1週目'!$P$2+$A$2)</f>
        <v/>
      </c>
      <c r="AF8" s="140" t="str">
        <f>IF(ROUND((DATE($AA$1,AE$2,$Z9)-$A$1)/7,0)=ROUND((DATE($AA$1,AE$2,$Z8)-$A$1)/7,0),"","P"&amp;ROUND((DATE($AA$1,AE$2,$Z8)-$A$1)/7,0)-'1週目'!$P$2+$A$2)</f>
        <v/>
      </c>
      <c r="AG8" s="179" t="str">
        <f>IF(ROUND((DATE($AA$1,AG$2,$Z7)-$A$1)/7,0)=ROUND((DATE($AA$1,AG$2,$Z8)-$A$1)/7,0),"","P"&amp;ROUND((DATE($AA$1,AG$2,$Z8)-$A$1)/7,0)-'1週目'!$P$2+$A$2)</f>
        <v>P17</v>
      </c>
      <c r="AH8" s="140" t="str">
        <f>IF(ROUND((DATE($AA$1,AG$2,$Z9)-$A$1)/7,0)=ROUND((DATE($AA$1,AG$2,$Z8)-$A$1)/7,0),"","P"&amp;ROUND((DATE($AA$1,AG$2,$Z8)-$A$1)/7,0)-'1週目'!$P$2+$A$2)</f>
        <v/>
      </c>
      <c r="AI8" s="179" t="str">
        <f>IF(ROUND((DATE($AA$1,AI$2,$Z7)-$A$1)/7,0)=ROUND((DATE($AA$1,AI$2,$Z8)-$A$1)/7,0),"","P"&amp;ROUND((DATE($AA$1,AI$2,$Z8)-$A$1)/7,0)-'1週目'!$P$2+$A$2)</f>
        <v/>
      </c>
      <c r="AJ8" s="140" t="str">
        <f>IF(ROUND((DATE($AA$1,AI$2,$Z9)-$A$1)/7,0)=ROUND((DATE($AA$1,AI$2,$Z8)-$A$1)/7,0),"","P"&amp;ROUND((DATE($AA$1,AI$2,$Z8)-$A$1)/7,0)-'1週目'!$P$2+$A$2)</f>
        <v/>
      </c>
      <c r="AK8" s="179" t="str">
        <f>IF(ROUND((DATE($AA$1,AK$2,$Z7)-$A$1)/7,0)=ROUND((DATE($AA$1,AK$2,$Z8)-$A$1)/7,0),"","P"&amp;ROUND((DATE($AA$1,AK$2,$Z8)-$A$1)/7,0)-'1週目'!$P$2+$A$2)</f>
        <v/>
      </c>
      <c r="AL8" s="140" t="str">
        <f>IF(ROUND((DATE($AA$1,AK$2,$Z9)-$A$1)/7,0)=ROUND((DATE($AA$1,AK$2,$Z8)-$A$1)/7,0),"","P"&amp;ROUND((DATE($AA$1,AK$2,$Z8)-$A$1)/7,0)-'1週目'!$P$2+$A$2)</f>
        <v>P25</v>
      </c>
      <c r="AM8" s="179" t="str">
        <f>IF(ROUND((DATE($AA$1,AM$2,$Z7)-$A$1)/7,0)=ROUND((DATE($AA$1,AM$2,$Z8)-$A$1)/7,0),"","P"&amp;ROUND((DATE($AA$1,AM$2,$Z8)-$A$1)/7,0)-'1週目'!$P$2+$A$2)</f>
        <v/>
      </c>
      <c r="AN8" s="140" t="str">
        <f>IF(ROUND((DATE($AA$1,AM$2,$Z9)-$A$1)/7,0)=ROUND((DATE($AA$1,AM$2,$Z8)-$A$1)/7,0),"","P"&amp;ROUND((DATE($AA$1,AM$2,$Z8)-$A$1)/7,0)-'1週目'!$P$2+$A$2)</f>
        <v/>
      </c>
      <c r="AO8" s="179" t="str">
        <f>IF(ROUND((DATE($AA$1,AO$2,$Z7)-$A$1)/7,0)=ROUND((DATE($AA$1,AO$2,$Z8)-$A$1)/7,0),"","P"&amp;ROUND((DATE($AA$1,AO$2,$Z8)-$A$1)/7,0)-'1週目'!$P$2+$A$2)</f>
        <v/>
      </c>
      <c r="AP8" s="140" t="str">
        <f>IF(ROUND((DATE($AA$1,AO$2,$Z9)-$A$1)/7,0)=ROUND((DATE($AA$1,AO$2,$Z8)-$A$1)/7,0),"","P"&amp;ROUND((DATE($AA$1,AO$2,$Z8)-$A$1)/7,0)-'1週目'!$P$2+$A$2)</f>
        <v/>
      </c>
      <c r="AQ8" s="179" t="str">
        <f>IF(ROUND((DATE($AA$1,AQ$2,$Z7)-$A$1)/7,0)=ROUND((DATE($AA$1,AQ$2,$Z8)-$A$1)/7,0),"","P"&amp;ROUND((DATE($AA$1,AQ$2,$Z8)-$A$1)/7,0)-'1週目'!$P$2+$A$2)</f>
        <v/>
      </c>
      <c r="AR8" s="140" t="str">
        <f>IF(ROUND((DATE($AA$1,AQ$2,$Z9)-$A$1)/7,0)=ROUND((DATE($AA$1,AQ$2,$Z8)-$A$1)/7,0),"","P"&amp;ROUND((DATE($AA$1,AQ$2,$Z8)-$A$1)/7,0)-'1週目'!$P$2+$A$2)</f>
        <v>P38</v>
      </c>
      <c r="AS8" s="179" t="str">
        <f>IF(ROUND((DATE($AA$1+1,AS$2,$Z7)-$A$1)/7,0)=ROUND((DATE($AA$1+1,AS$2,$Z8)-$A$1)/7,0),"","P"&amp;ROUND((DATE($AA$1+1,AS$2,$Z8)-$A$1)/7,0)-'1週目'!$P$2+$A$2)</f>
        <v/>
      </c>
      <c r="AT8" s="140" t="str">
        <f>IF(ROUND((DATE($AA$1+1,AS$2,$Z9)-$A$1)/7,0)=ROUND((DATE($AA$1+1,AS$2,$Z8)-$A$1)/7,0),"","P"&amp;ROUND((DATE($AA$1+1,AS$2,$Z8)-$A$1)/7,0)-'1週目'!$P$2+$A$2)</f>
        <v/>
      </c>
      <c r="AU8" s="179" t="str">
        <f>IF(ROUND((DATE($AA$1+1,AU$2,$Z7)-$A$1)/7,0)=ROUND((DATE($AA$1+1,AU$2,$Z8)-$A$1)/7,0),"","P"&amp;ROUND((DATE($AA$1+1,AU$2,$Z8)-$A$1)/7,0)-'1週目'!$P$2+$A$2)</f>
        <v/>
      </c>
      <c r="AV8" s="140" t="str">
        <f>IF(ROUND((DATE($AA$1+1,AU$2,$Z9)-$A$1)/7,0)=ROUND((DATE($AA$1+1,AU$2,$Z8)-$A$1)/7,0),"","P"&amp;ROUND((DATE($AA$1+1,AU$2,$Z8)-$A$1)/7,0)-'1週目'!$P$2+$A$2)</f>
        <v/>
      </c>
      <c r="AW8" s="179" t="str">
        <f>IF(ROUND((DATE($AA$1+1,AW$2,$Z7)-$A$1)/7,0)=ROUND((DATE($AA$1+1,AW$2,$Z8)-$A$1)/7,0),"","P"&amp;ROUND((DATE($AA$1+1,AW$2,$Z8)-$A$1)/7,0)-'1週目'!$P$2+$A$2)</f>
        <v/>
      </c>
      <c r="AX8" s="146" t="str">
        <f>IF(ROUND((DATE($AA$1+1,AW$2,$Z9)-$A$1)/7,0)=ROUND((DATE($AA$1+1,AW$2,$Z8)-$A$1)/7,0),"","P"&amp;ROUND((DATE($AA$1+1,AW$2,$Z8)-$A$1)/7,0)-'1週目'!$P$2+$A$2)</f>
        <v/>
      </c>
    </row>
    <row r="9" spans="1:53" s="128" customFormat="1" ht="39" customHeight="1"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Z9" s="128">
        <v>7</v>
      </c>
      <c r="AA9" s="177" t="str">
        <f>IF(ROUND((DATE($AA$1,AA$2,$Z8)-$A$1)/7,0)=ROUND((DATE($AA$1,AA$2,$Z9)-$A$1)/7,0),"","P"&amp;ROUND((DATE($AA$1,AA$2,$Z9)-$A$1)/7,0)-'1週目'!$P$2+$A$2)</f>
        <v/>
      </c>
      <c r="AB9" s="140" t="str">
        <f>IF(ROUND((DATE($AA$1,AA$2,$Z10)-$A$1)/7,0)=ROUND((DATE($AA$1,AA$2,$Z9)-$A$1)/7,0),"","P"&amp;ROUND((DATE($AA$1,AA$2,$Z9)-$A$1)/7,0)-'1週目'!$P$2+$A$2)</f>
        <v/>
      </c>
      <c r="AC9" s="179" t="str">
        <f>IF(ROUND((DATE($AA$1,AC$2,$Z8)-$A$1)/7,0)=ROUND((DATE($AA$1,AC$2,$Z9)-$A$1)/7,0),"","P"&amp;ROUND((DATE($AA$1,AC$2,$Z9)-$A$1)/7,0)-'1週目'!$P$2+$A$2)</f>
        <v/>
      </c>
      <c r="AD9" s="140" t="str">
        <f>IF(ROUND((DATE($AA$1,AC$2,$Z10)-$A$1)/7,0)=ROUND((DATE($AA$1,AC$2,$Z9)-$A$1)/7,0),"","P"&amp;ROUND((DATE($AA$1,AC$2,$Z9)-$A$1)/7,0)-'1週目'!$P$2+$A$2)</f>
        <v/>
      </c>
      <c r="AE9" s="179" t="str">
        <f>IF(ROUND((DATE($AA$1,AE$2,$Z8)-$A$1)/7,0)=ROUND((DATE($AA$1,AE$2,$Z9)-$A$1)/7,0),"","P"&amp;ROUND((DATE($AA$1,AE$2,$Z9)-$A$1)/7,0)-'1週目'!$P$2+$A$2)</f>
        <v/>
      </c>
      <c r="AF9" s="140" t="str">
        <f>IF(ROUND((DATE($AA$1,AE$2,$Z10)-$A$1)/7,0)=ROUND((DATE($AA$1,AE$2,$Z9)-$A$1)/7,0),"","P"&amp;ROUND((DATE($AA$1,AE$2,$Z9)-$A$1)/7,0)-'1週目'!$P$2+$A$2)</f>
        <v>P12</v>
      </c>
      <c r="AG9" s="179" t="str">
        <f>IF(ROUND((DATE($AA$1,AG$2,$Z8)-$A$1)/7,0)=ROUND((DATE($AA$1,AG$2,$Z9)-$A$1)/7,0),"","P"&amp;ROUND((DATE($AA$1,AG$2,$Z9)-$A$1)/7,0)-'1週目'!$P$2+$A$2)</f>
        <v/>
      </c>
      <c r="AH9" s="140" t="str">
        <f>IF(ROUND((DATE($AA$1,AG$2,$Z10)-$A$1)/7,0)=ROUND((DATE($AA$1,AG$2,$Z9)-$A$1)/7,0),"","P"&amp;ROUND((DATE($AA$1,AG$2,$Z9)-$A$1)/7,0)-'1週目'!$P$2+$A$2)</f>
        <v/>
      </c>
      <c r="AI9" s="179" t="str">
        <f>IF(ROUND((DATE($AA$1,AI$2,$Z8)-$A$1)/7,0)=ROUND((DATE($AA$1,AI$2,$Z9)-$A$1)/7,0),"","P"&amp;ROUND((DATE($AA$1,AI$2,$Z9)-$A$1)/7,0)-'1週目'!$P$2+$A$2)</f>
        <v/>
      </c>
      <c r="AJ9" s="140" t="str">
        <f>IF(ROUND((DATE($AA$1,AI$2,$Z10)-$A$1)/7,0)=ROUND((DATE($AA$1,AI$2,$Z9)-$A$1)/7,0),"","P"&amp;ROUND((DATE($AA$1,AI$2,$Z9)-$A$1)/7,0)-'1週目'!$P$2+$A$2)</f>
        <v/>
      </c>
      <c r="AK9" s="179" t="str">
        <f>IF(ROUND((DATE($AA$1,AK$2,$Z8)-$A$1)/7,0)=ROUND((DATE($AA$1,AK$2,$Z9)-$A$1)/7,0),"","P"&amp;ROUND((DATE($AA$1,AK$2,$Z9)-$A$1)/7,0)-'1週目'!$P$2+$A$2)</f>
        <v>P26</v>
      </c>
      <c r="AL9" s="140" t="str">
        <f>IF(ROUND((DATE($AA$1,AK$2,$Z10)-$A$1)/7,0)=ROUND((DATE($AA$1,AK$2,$Z9)-$A$1)/7,0),"","P"&amp;ROUND((DATE($AA$1,AK$2,$Z9)-$A$1)/7,0)-'1週目'!$P$2+$A$2)</f>
        <v/>
      </c>
      <c r="AM9" s="179" t="str">
        <f>IF(ROUND((DATE($AA$1,AM$2,$Z8)-$A$1)/7,0)=ROUND((DATE($AA$1,AM$2,$Z9)-$A$1)/7,0),"","P"&amp;ROUND((DATE($AA$1,AM$2,$Z9)-$A$1)/7,0)-'1週目'!$P$2+$A$2)</f>
        <v/>
      </c>
      <c r="AN9" s="140" t="str">
        <f>IF(ROUND((DATE($AA$1,AM$2,$Z10)-$A$1)/7,0)=ROUND((DATE($AA$1,AM$2,$Z9)-$A$1)/7,0),"","P"&amp;ROUND((DATE($AA$1,AM$2,$Z9)-$A$1)/7,0)-'1週目'!$P$2+$A$2)</f>
        <v/>
      </c>
      <c r="AO9" s="179" t="str">
        <f>IF(ROUND((DATE($AA$1,AO$2,$Z8)-$A$1)/7,0)=ROUND((DATE($AA$1,AO$2,$Z9)-$A$1)/7,0),"","P"&amp;ROUND((DATE($AA$1,AO$2,$Z9)-$A$1)/7,0)-'1週目'!$P$2+$A$2)</f>
        <v/>
      </c>
      <c r="AP9" s="140" t="str">
        <f>IF(ROUND((DATE($AA$1,AO$2,$Z10)-$A$1)/7,0)=ROUND((DATE($AA$1,AO$2,$Z9)-$A$1)/7,0),"","P"&amp;ROUND((DATE($AA$1,AO$2,$Z9)-$A$1)/7,0)-'1週目'!$P$2+$A$2)</f>
        <v/>
      </c>
      <c r="AQ9" s="179" t="str">
        <f>IF(ROUND((DATE($AA$1,AQ$2,$Z8)-$A$1)/7,0)=ROUND((DATE($AA$1,AQ$2,$Z9)-$A$1)/7,0),"","P"&amp;ROUND((DATE($AA$1,AQ$2,$Z9)-$A$1)/7,0)-'1週目'!$P$2+$A$2)</f>
        <v>P39</v>
      </c>
      <c r="AR9" s="140" t="str">
        <f>IF(ROUND((DATE($AA$1,AQ$2,$Z10)-$A$1)/7,0)=ROUND((DATE($AA$1,AQ$2,$Z9)-$A$1)/7,0),"","P"&amp;ROUND((DATE($AA$1,AQ$2,$Z9)-$A$1)/7,0)-'1週目'!$P$2+$A$2)</f>
        <v/>
      </c>
      <c r="AS9" s="179" t="str">
        <f>IF(ROUND((DATE($AA$1+1,AS$2,$Z8)-$A$1)/7,0)=ROUND((DATE($AA$1+1,AS$2,$Z9)-$A$1)/7,0),"","P"&amp;ROUND((DATE($AA$1+1,AS$2,$Z9)-$A$1)/7,0)-'1週目'!$P$2+$A$2)</f>
        <v/>
      </c>
      <c r="AT9" s="140" t="str">
        <f>IF(ROUND((DATE($AA$1+1,AS$2,$Z10)-$A$1)/7,0)=ROUND((DATE($AA$1+1,AS$2,$Z9)-$A$1)/7,0),"","P"&amp;ROUND((DATE($AA$1+1,AS$2,$Z9)-$A$1)/7,0)-'1週目'!$P$2+$A$2)</f>
        <v/>
      </c>
      <c r="AU9" s="179" t="str">
        <f>IF(ROUND((DATE($AA$1+1,AU$2,$Z8)-$A$1)/7,0)=ROUND((DATE($AA$1+1,AU$2,$Z9)-$A$1)/7,0),"","P"&amp;ROUND((DATE($AA$1+1,AU$2,$Z9)-$A$1)/7,0)-'1週目'!$P$2+$A$2)</f>
        <v/>
      </c>
      <c r="AV9" s="140" t="str">
        <f>IF(ROUND((DATE($AA$1+1,AU$2,$Z10)-$A$1)/7,0)=ROUND((DATE($AA$1+1,AU$2,$Z9)-$A$1)/7,0),"","P"&amp;ROUND((DATE($AA$1+1,AU$2,$Z9)-$A$1)/7,0)-'1週目'!$P$2+$A$2)</f>
        <v>P47</v>
      </c>
      <c r="AW9" s="179" t="str">
        <f>IF(ROUND((DATE($AA$1+1,AW$2,$Z8)-$A$1)/7,0)=ROUND((DATE($AA$1+1,AW$2,$Z9)-$A$1)/7,0),"","P"&amp;ROUND((DATE($AA$1+1,AW$2,$Z9)-$A$1)/7,0)-'1週目'!$P$2+$A$2)</f>
        <v/>
      </c>
      <c r="AX9" s="146" t="str">
        <f>IF(ROUND((DATE($AA$1+1,AW$2,$Z10)-$A$1)/7,0)=ROUND((DATE($AA$1+1,AW$2,$Z9)-$A$1)/7,0),"","P"&amp;ROUND((DATE($AA$1+1,AW$2,$Z9)-$A$1)/7,0)-'1週目'!$P$2+$A$2)</f>
        <v>P51</v>
      </c>
    </row>
    <row r="10" spans="1:53" s="128" customFormat="1" ht="39" customHeight="1"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Z10" s="128">
        <v>8</v>
      </c>
      <c r="AA10" s="177" t="str">
        <f>IF(ROUND((DATE($AA$1,AA$2,$Z9)-$A$1)/7,0)=ROUND((DATE($AA$1,AA$2,$Z10)-$A$1)/7,0),"","P"&amp;ROUND((DATE($AA$1,AA$2,$Z10)-$A$1)/7,0)-'1週目'!$P$2+$A$2)</f>
        <v/>
      </c>
      <c r="AB10" s="140" t="str">
        <f>IF(ROUND((DATE($AA$1,AA$2,$Z11)-$A$1)/7,0)=ROUND((DATE($AA$1,AA$2,$Z10)-$A$1)/7,0),"","P"&amp;ROUND((DATE($AA$1,AA$2,$Z10)-$A$1)/7,0)-'1週目'!$P$2+$A$2)</f>
        <v/>
      </c>
      <c r="AC10" s="179" t="str">
        <f>IF(ROUND((DATE($AA$1,AC$2,$Z9)-$A$1)/7,0)=ROUND((DATE($AA$1,AC$2,$Z10)-$A$1)/7,0),"","P"&amp;ROUND((DATE($AA$1,AC$2,$Z10)-$A$1)/7,0)-'1週目'!$P$2+$A$2)</f>
        <v/>
      </c>
      <c r="AD10" s="140" t="str">
        <f>IF(ROUND((DATE($AA$1,AC$2,$Z11)-$A$1)/7,0)=ROUND((DATE($AA$1,AC$2,$Z10)-$A$1)/7,0),"","P"&amp;ROUND((DATE($AA$1,AC$2,$Z10)-$A$1)/7,0)-'1週目'!$P$2+$A$2)</f>
        <v/>
      </c>
      <c r="AE10" s="179" t="str">
        <f>IF(ROUND((DATE($AA$1,AE$2,$Z9)-$A$1)/7,0)=ROUND((DATE($AA$1,AE$2,$Z10)-$A$1)/7,0),"","P"&amp;ROUND((DATE($AA$1,AE$2,$Z10)-$A$1)/7,0)-'1週目'!$P$2+$A$2)</f>
        <v>P13</v>
      </c>
      <c r="AF10" s="140" t="str">
        <f>IF(ROUND((DATE($AA$1,AE$2,$Z11)-$A$1)/7,0)=ROUND((DATE($AA$1,AE$2,$Z10)-$A$1)/7,0),"","P"&amp;ROUND((DATE($AA$1,AE$2,$Z10)-$A$1)/7,0)-'1週目'!$P$2+$A$2)</f>
        <v/>
      </c>
      <c r="AG10" s="179" t="str">
        <f>IF(ROUND((DATE($AA$1,AG$2,$Z9)-$A$1)/7,0)=ROUND((DATE($AA$1,AG$2,$Z10)-$A$1)/7,0),"","P"&amp;ROUND((DATE($AA$1,AG$2,$Z10)-$A$1)/7,0)-'1週目'!$P$2+$A$2)</f>
        <v/>
      </c>
      <c r="AH10" s="140" t="str">
        <f>IF(ROUND((DATE($AA$1,AG$2,$Z11)-$A$1)/7,0)=ROUND((DATE($AA$1,AG$2,$Z10)-$A$1)/7,0),"","P"&amp;ROUND((DATE($AA$1,AG$2,$Z10)-$A$1)/7,0)-'1週目'!$P$2+$A$2)</f>
        <v/>
      </c>
      <c r="AI10" s="179" t="str">
        <f>IF(ROUND((DATE($AA$1,AI$2,$Z9)-$A$1)/7,0)=ROUND((DATE($AA$1,AI$2,$Z10)-$A$1)/7,0),"","P"&amp;ROUND((DATE($AA$1,AI$2,$Z10)-$A$1)/7,0)-'1週目'!$P$2+$A$2)</f>
        <v/>
      </c>
      <c r="AJ10" s="140" t="str">
        <f>IF(ROUND((DATE($AA$1,AI$2,$Z11)-$A$1)/7,0)=ROUND((DATE($AA$1,AI$2,$Z10)-$A$1)/7,0),"","P"&amp;ROUND((DATE($AA$1,AI$2,$Z10)-$A$1)/7,0)-'1週目'!$P$2+$A$2)</f>
        <v/>
      </c>
      <c r="AK10" s="179" t="str">
        <f>IF(ROUND((DATE($AA$1,AK$2,$Z9)-$A$1)/7,0)=ROUND((DATE($AA$1,AK$2,$Z10)-$A$1)/7,0),"","P"&amp;ROUND((DATE($AA$1,AK$2,$Z10)-$A$1)/7,0)-'1週目'!$P$2+$A$2)</f>
        <v/>
      </c>
      <c r="AL10" s="140" t="str">
        <f>IF(ROUND((DATE($AA$1,AK$2,$Z11)-$A$1)/7,0)=ROUND((DATE($AA$1,AK$2,$Z10)-$A$1)/7,0),"","P"&amp;ROUND((DATE($AA$1,AK$2,$Z10)-$A$1)/7,0)-'1週目'!$P$2+$A$2)</f>
        <v/>
      </c>
      <c r="AM10" s="179" t="str">
        <f>IF(ROUND((DATE($AA$1,AM$2,$Z9)-$A$1)/7,0)=ROUND((DATE($AA$1,AM$2,$Z10)-$A$1)/7,0),"","P"&amp;ROUND((DATE($AA$1,AM$2,$Z10)-$A$1)/7,0)-'1週目'!$P$2+$A$2)</f>
        <v/>
      </c>
      <c r="AN10" s="140" t="str">
        <f>IF(ROUND((DATE($AA$1,AM$2,$Z11)-$A$1)/7,0)=ROUND((DATE($AA$1,AM$2,$Z10)-$A$1)/7,0),"","P"&amp;ROUND((DATE($AA$1,AM$2,$Z10)-$A$1)/7,0)-'1週目'!$P$2+$A$2)</f>
        <v/>
      </c>
      <c r="AO10" s="179" t="str">
        <f>IF(ROUND((DATE($AA$1,AO$2,$Z9)-$A$1)/7,0)=ROUND((DATE($AA$1,AO$2,$Z10)-$A$1)/7,0),"","P"&amp;ROUND((DATE($AA$1,AO$2,$Z10)-$A$1)/7,0)-'1週目'!$P$2+$A$2)</f>
        <v/>
      </c>
      <c r="AP10" s="140" t="str">
        <f>IF(ROUND((DATE($AA$1,AO$2,$Z11)-$A$1)/7,0)=ROUND((DATE($AA$1,AO$2,$Z10)-$A$1)/7,0),"","P"&amp;ROUND((DATE($AA$1,AO$2,$Z10)-$A$1)/7,0)-'1週目'!$P$2+$A$2)</f>
        <v>P34</v>
      </c>
      <c r="AQ10" s="179" t="str">
        <f>IF(ROUND((DATE($AA$1,AQ$2,$Z9)-$A$1)/7,0)=ROUND((DATE($AA$1,AQ$2,$Z10)-$A$1)/7,0),"","P"&amp;ROUND((DATE($AA$1,AQ$2,$Z10)-$A$1)/7,0)-'1週目'!$P$2+$A$2)</f>
        <v/>
      </c>
      <c r="AR10" s="140" t="str">
        <f>IF(ROUND((DATE($AA$1,AQ$2,$Z11)-$A$1)/7,0)=ROUND((DATE($AA$1,AQ$2,$Z10)-$A$1)/7,0),"","P"&amp;ROUND((DATE($AA$1,AQ$2,$Z10)-$A$1)/7,0)-'1週目'!$P$2+$A$2)</f>
        <v/>
      </c>
      <c r="AS10" s="179" t="str">
        <f>IF(ROUND((DATE($AA$1+1,AS$2,$Z9)-$A$1)/7,0)=ROUND((DATE($AA$1+1,AS$2,$Z10)-$A$1)/7,0),"","P"&amp;ROUND((DATE($AA$1+1,AS$2,$Z10)-$A$1)/7,0)-'1週目'!$P$2+$A$2)</f>
        <v/>
      </c>
      <c r="AT10" s="140" t="str">
        <f>IF(ROUND((DATE($AA$1+1,AS$2,$Z11)-$A$1)/7,0)=ROUND((DATE($AA$1+1,AS$2,$Z10)-$A$1)/7,0),"","P"&amp;ROUND((DATE($AA$1+1,AS$2,$Z10)-$A$1)/7,0)-'1週目'!$P$2+$A$2)</f>
        <v/>
      </c>
      <c r="AU10" s="179" t="str">
        <f>IF(ROUND((DATE($AA$1+1,AU$2,$Z9)-$A$1)/7,0)=ROUND((DATE($AA$1+1,AU$2,$Z10)-$A$1)/7,0),"","P"&amp;ROUND((DATE($AA$1+1,AU$2,$Z10)-$A$1)/7,0)-'1週目'!$P$2+$A$2)</f>
        <v>P48</v>
      </c>
      <c r="AV10" s="140" t="str">
        <f>IF(ROUND((DATE($AA$1+1,AU$2,$Z11)-$A$1)/7,0)=ROUND((DATE($AA$1+1,AU$2,$Z10)-$A$1)/7,0),"","P"&amp;ROUND((DATE($AA$1+1,AU$2,$Z10)-$A$1)/7,0)-'1週目'!$P$2+$A$2)</f>
        <v/>
      </c>
      <c r="AW10" s="179" t="str">
        <f>IF(ROUND((DATE($AA$1+1,AW$2,$Z9)-$A$1)/7,0)=ROUND((DATE($AA$1+1,AW$2,$Z10)-$A$1)/7,0),"","P"&amp;ROUND((DATE($AA$1+1,AW$2,$Z10)-$A$1)/7,0)-'1週目'!$P$2+$A$2)</f>
        <v>P52</v>
      </c>
      <c r="AX10" s="146" t="str">
        <f>IF(ROUND((DATE($AA$1+1,AW$2,$Z11)-$A$1)/7,0)=ROUND((DATE($AA$1+1,AW$2,$Z10)-$A$1)/7,0),"","P"&amp;ROUND((DATE($AA$1+1,AW$2,$Z10)-$A$1)/7,0)-'1週目'!$P$2+$A$2)</f>
        <v/>
      </c>
    </row>
    <row r="11" spans="1:53" s="128" customFormat="1" ht="39" customHeight="1"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Z11" s="128">
        <v>9</v>
      </c>
      <c r="AA11" s="177" t="str">
        <f>IF(ROUND((DATE($AA$1,AA$2,$Z10)-$A$1)/7,0)=ROUND((DATE($AA$1,AA$2,$Z11)-$A$1)/7,0),"","P"&amp;ROUND((DATE($AA$1,AA$2,$Z11)-$A$1)/7,0)-'1週目'!$P$2+$A$2)</f>
        <v/>
      </c>
      <c r="AB11" s="140" t="str">
        <f>IF(ROUND((DATE($AA$1,AA$2,$Z12)-$A$1)/7,0)=ROUND((DATE($AA$1,AA$2,$Z11)-$A$1)/7,0),"","P"&amp;ROUND((DATE($AA$1,AA$2,$Z11)-$A$1)/7,0)-'1週目'!$P$2+$A$2)</f>
        <v/>
      </c>
      <c r="AC11" s="179" t="str">
        <f>IF(ROUND((DATE($AA$1,AC$2,$Z10)-$A$1)/7,0)=ROUND((DATE($AA$1,AC$2,$Z11)-$A$1)/7,0),"","P"&amp;ROUND((DATE($AA$1,AC$2,$Z11)-$A$1)/7,0)-'1週目'!$P$2+$A$2)</f>
        <v/>
      </c>
      <c r="AD11" s="140" t="str">
        <f>IF(ROUND((DATE($AA$1,AC$2,$Z12)-$A$1)/7,0)=ROUND((DATE($AA$1,AC$2,$Z11)-$A$1)/7,0),"","P"&amp;ROUND((DATE($AA$1,AC$2,$Z11)-$A$1)/7,0)-'1週目'!$P$2+$A$2)</f>
        <v/>
      </c>
      <c r="AE11" s="179" t="str">
        <f>IF(ROUND((DATE($AA$1,AE$2,$Z10)-$A$1)/7,0)=ROUND((DATE($AA$1,AE$2,$Z11)-$A$1)/7,0),"","P"&amp;ROUND((DATE($AA$1,AE$2,$Z11)-$A$1)/7,0)-'1週目'!$P$2+$A$2)</f>
        <v/>
      </c>
      <c r="AF11" s="140" t="str">
        <f>IF(ROUND((DATE($AA$1,AE$2,$Z12)-$A$1)/7,0)=ROUND((DATE($AA$1,AE$2,$Z11)-$A$1)/7,0),"","P"&amp;ROUND((DATE($AA$1,AE$2,$Z11)-$A$1)/7,0)-'1週目'!$P$2+$A$2)</f>
        <v/>
      </c>
      <c r="AG11" s="179" t="str">
        <f>IF(ROUND((DATE($AA$1,AG$2,$Z10)-$A$1)/7,0)=ROUND((DATE($AA$1,AG$2,$Z11)-$A$1)/7,0),"","P"&amp;ROUND((DATE($AA$1,AG$2,$Z11)-$A$1)/7,0)-'1週目'!$P$2+$A$2)</f>
        <v/>
      </c>
      <c r="AH11" s="140" t="str">
        <f>IF(ROUND((DATE($AA$1,AG$2,$Z12)-$A$1)/7,0)=ROUND((DATE($AA$1,AG$2,$Z11)-$A$1)/7,0),"","P"&amp;ROUND((DATE($AA$1,AG$2,$Z11)-$A$1)/7,0)-'1週目'!$P$2+$A$2)</f>
        <v/>
      </c>
      <c r="AI11" s="179" t="str">
        <f>IF(ROUND((DATE($AA$1,AI$2,$Z10)-$A$1)/7,0)=ROUND((DATE($AA$1,AI$2,$Z11)-$A$1)/7,0),"","P"&amp;ROUND((DATE($AA$1,AI$2,$Z11)-$A$1)/7,0)-'1週目'!$P$2+$A$2)</f>
        <v/>
      </c>
      <c r="AJ11" s="140" t="str">
        <f>IF(ROUND((DATE($AA$1,AI$2,$Z12)-$A$1)/7,0)=ROUND((DATE($AA$1,AI$2,$Z11)-$A$1)/7,0),"","P"&amp;ROUND((DATE($AA$1,AI$2,$Z11)-$A$1)/7,0)-'1週目'!$P$2+$A$2)</f>
        <v>P21</v>
      </c>
      <c r="AK11" s="179" t="str">
        <f>IF(ROUND((DATE($AA$1,AK$2,$Z10)-$A$1)/7,0)=ROUND((DATE($AA$1,AK$2,$Z11)-$A$1)/7,0),"","P"&amp;ROUND((DATE($AA$1,AK$2,$Z11)-$A$1)/7,0)-'1週目'!$P$2+$A$2)</f>
        <v/>
      </c>
      <c r="AL11" s="140" t="str">
        <f>IF(ROUND((DATE($AA$1,AK$2,$Z12)-$A$1)/7,0)=ROUND((DATE($AA$1,AK$2,$Z11)-$A$1)/7,0),"","P"&amp;ROUND((DATE($AA$1,AK$2,$Z11)-$A$1)/7,0)-'1週目'!$P$2+$A$2)</f>
        <v/>
      </c>
      <c r="AM11" s="179" t="str">
        <f>IF(ROUND((DATE($AA$1,AM$2,$Z10)-$A$1)/7,0)=ROUND((DATE($AA$1,AM$2,$Z11)-$A$1)/7,0),"","P"&amp;ROUND((DATE($AA$1,AM$2,$Z11)-$A$1)/7,0)-'1週目'!$P$2+$A$2)</f>
        <v/>
      </c>
      <c r="AN11" s="140" t="str">
        <f>IF(ROUND((DATE($AA$1,AM$2,$Z12)-$A$1)/7,0)=ROUND((DATE($AA$1,AM$2,$Z11)-$A$1)/7,0),"","P"&amp;ROUND((DATE($AA$1,AM$2,$Z11)-$A$1)/7,0)-'1週目'!$P$2+$A$2)</f>
        <v/>
      </c>
      <c r="AO11" s="179" t="str">
        <f>IF(ROUND((DATE($AA$1,AO$2,$Z10)-$A$1)/7,0)=ROUND((DATE($AA$1,AO$2,$Z11)-$A$1)/7,0),"","P"&amp;ROUND((DATE($AA$1,AO$2,$Z11)-$A$1)/7,0)-'1週目'!$P$2+$A$2)</f>
        <v>P35</v>
      </c>
      <c r="AP11" s="140" t="str">
        <f>IF(ROUND((DATE($AA$1,AO$2,$Z12)-$A$1)/7,0)=ROUND((DATE($AA$1,AO$2,$Z11)-$A$1)/7,0),"","P"&amp;ROUND((DATE($AA$1,AO$2,$Z11)-$A$1)/7,0)-'1週目'!$P$2+$A$2)</f>
        <v/>
      </c>
      <c r="AQ11" s="179" t="str">
        <f>IF(ROUND((DATE($AA$1,AQ$2,$Z10)-$A$1)/7,0)=ROUND((DATE($AA$1,AQ$2,$Z11)-$A$1)/7,0),"","P"&amp;ROUND((DATE($AA$1,AQ$2,$Z11)-$A$1)/7,0)-'1週目'!$P$2+$A$2)</f>
        <v/>
      </c>
      <c r="AR11" s="140" t="str">
        <f>IF(ROUND((DATE($AA$1,AQ$2,$Z12)-$A$1)/7,0)=ROUND((DATE($AA$1,AQ$2,$Z11)-$A$1)/7,0),"","P"&amp;ROUND((DATE($AA$1,AQ$2,$Z11)-$A$1)/7,0)-'1週目'!$P$2+$A$2)</f>
        <v/>
      </c>
      <c r="AS11" s="179" t="str">
        <f>IF(ROUND((DATE($AA$1+1,AS$2,$Z10)-$A$1)/7,0)=ROUND((DATE($AA$1+1,AS$2,$Z11)-$A$1)/7,0),"","P"&amp;ROUND((DATE($AA$1+1,AS$2,$Z11)-$A$1)/7,0)-'1週目'!$P$2+$A$2)</f>
        <v/>
      </c>
      <c r="AT11" s="140" t="str">
        <f>IF(ROUND((DATE($AA$1+1,AS$2,$Z12)-$A$1)/7,0)=ROUND((DATE($AA$1+1,AS$2,$Z11)-$A$1)/7,0),"","P"&amp;ROUND((DATE($AA$1+1,AS$2,$Z11)-$A$1)/7,0)-'1週目'!$P$2+$A$2)</f>
        <v/>
      </c>
      <c r="AU11" s="179" t="str">
        <f>IF(ROUND((DATE($AA$1+1,AU$2,$Z10)-$A$1)/7,0)=ROUND((DATE($AA$1+1,AU$2,$Z11)-$A$1)/7,0),"","P"&amp;ROUND((DATE($AA$1+1,AU$2,$Z11)-$A$1)/7,0)-'1週目'!$P$2+$A$2)</f>
        <v/>
      </c>
      <c r="AV11" s="140" t="str">
        <f>IF(ROUND((DATE($AA$1+1,AU$2,$Z12)-$A$1)/7,0)=ROUND((DATE($AA$1+1,AU$2,$Z11)-$A$1)/7,0),"","P"&amp;ROUND((DATE($AA$1+1,AU$2,$Z11)-$A$1)/7,0)-'1週目'!$P$2+$A$2)</f>
        <v/>
      </c>
      <c r="AW11" s="179" t="str">
        <f>IF(ROUND((DATE($AA$1+1,AW$2,$Z10)-$A$1)/7,0)=ROUND((DATE($AA$1+1,AW$2,$Z11)-$A$1)/7,0),"","P"&amp;ROUND((DATE($AA$1+1,AW$2,$Z11)-$A$1)/7,0)-'1週目'!$P$2+$A$2)</f>
        <v/>
      </c>
      <c r="AX11" s="146" t="str">
        <f>IF(ROUND((DATE($AA$1+1,AW$2,$Z12)-$A$1)/7,0)=ROUND((DATE($AA$1+1,AW$2,$Z11)-$A$1)/7,0),"","P"&amp;ROUND((DATE($AA$1+1,AW$2,$Z11)-$A$1)/7,0)-'1週目'!$P$2+$A$2)</f>
        <v/>
      </c>
    </row>
    <row r="12" spans="1:53" s="128" customFormat="1" ht="39" customHeight="1"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Z12" s="128">
        <v>10</v>
      </c>
      <c r="AA12" s="177" t="str">
        <f>IF(ROUND((DATE($AA$1,AA$2,$Z11)-$A$1)/7,0)=ROUND((DATE($AA$1,AA$2,$Z12)-$A$1)/7,0),"","P"&amp;ROUND((DATE($AA$1,AA$2,$Z12)-$A$1)/7,0)-'1週目'!$P$2+$A$2)</f>
        <v/>
      </c>
      <c r="AB12" s="140" t="str">
        <f>IF(ROUND((DATE($AA$1,AA$2,$Z13)-$A$1)/7,0)=ROUND((DATE($AA$1,AA$2,$Z12)-$A$1)/7,0),"","P"&amp;ROUND((DATE($AA$1,AA$2,$Z12)-$A$1)/7,0)-'1週目'!$P$2+$A$2)</f>
        <v/>
      </c>
      <c r="AC12" s="179" t="str">
        <f>IF(ROUND((DATE($AA$1,AC$2,$Z11)-$A$1)/7,0)=ROUND((DATE($AA$1,AC$2,$Z12)-$A$1)/7,0),"","P"&amp;ROUND((DATE($AA$1,AC$2,$Z12)-$A$1)/7,0)-'1週目'!$P$2+$A$2)</f>
        <v/>
      </c>
      <c r="AD12" s="140" t="str">
        <f>IF(ROUND((DATE($AA$1,AC$2,$Z13)-$A$1)/7,0)=ROUND((DATE($AA$1,AC$2,$Z12)-$A$1)/7,0),"","P"&amp;ROUND((DATE($AA$1,AC$2,$Z12)-$A$1)/7,0)-'1週目'!$P$2+$A$2)</f>
        <v>P8</v>
      </c>
      <c r="AE12" s="179" t="str">
        <f>IF(ROUND((DATE($AA$1,AE$2,$Z11)-$A$1)/7,0)=ROUND((DATE($AA$1,AE$2,$Z12)-$A$1)/7,0),"","P"&amp;ROUND((DATE($AA$1,AE$2,$Z12)-$A$1)/7,0)-'1週目'!$P$2+$A$2)</f>
        <v/>
      </c>
      <c r="AF12" s="140" t="str">
        <f>IF(ROUND((DATE($AA$1,AE$2,$Z13)-$A$1)/7,0)=ROUND((DATE($AA$1,AE$2,$Z12)-$A$1)/7,0),"","P"&amp;ROUND((DATE($AA$1,AE$2,$Z12)-$A$1)/7,0)-'1週目'!$P$2+$A$2)</f>
        <v/>
      </c>
      <c r="AG12" s="179" t="str">
        <f>IF(ROUND((DATE($AA$1,AG$2,$Z11)-$A$1)/7,0)=ROUND((DATE($AA$1,AG$2,$Z12)-$A$1)/7,0),"","P"&amp;ROUND((DATE($AA$1,AG$2,$Z12)-$A$1)/7,0)-'1週目'!$P$2+$A$2)</f>
        <v/>
      </c>
      <c r="AH12" s="140" t="str">
        <f>IF(ROUND((DATE($AA$1,AG$2,$Z13)-$A$1)/7,0)=ROUND((DATE($AA$1,AG$2,$Z12)-$A$1)/7,0),"","P"&amp;ROUND((DATE($AA$1,AG$2,$Z12)-$A$1)/7,0)-'1週目'!$P$2+$A$2)</f>
        <v/>
      </c>
      <c r="AI12" s="179" t="str">
        <f>IF(ROUND((DATE($AA$1,AI$2,$Z11)-$A$1)/7,0)=ROUND((DATE($AA$1,AI$2,$Z12)-$A$1)/7,0),"","P"&amp;ROUND((DATE($AA$1,AI$2,$Z12)-$A$1)/7,0)-'1週目'!$P$2+$A$2)</f>
        <v>P22</v>
      </c>
      <c r="AJ12" s="140" t="str">
        <f>IF(ROUND((DATE($AA$1,AI$2,$Z13)-$A$1)/7,0)=ROUND((DATE($AA$1,AI$2,$Z12)-$A$1)/7,0),"","P"&amp;ROUND((DATE($AA$1,AI$2,$Z12)-$A$1)/7,0)-'1週目'!$P$2+$A$2)</f>
        <v/>
      </c>
      <c r="AK12" s="179" t="str">
        <f>IF(ROUND((DATE($AA$1,AK$2,$Z11)-$A$1)/7,0)=ROUND((DATE($AA$1,AK$2,$Z12)-$A$1)/7,0),"","P"&amp;ROUND((DATE($AA$1,AK$2,$Z12)-$A$1)/7,0)-'1週目'!$P$2+$A$2)</f>
        <v/>
      </c>
      <c r="AL12" s="140" t="str">
        <f>IF(ROUND((DATE($AA$1,AK$2,$Z13)-$A$1)/7,0)=ROUND((DATE($AA$1,AK$2,$Z12)-$A$1)/7,0),"","P"&amp;ROUND((DATE($AA$1,AK$2,$Z12)-$A$1)/7,0)-'1週目'!$P$2+$A$2)</f>
        <v/>
      </c>
      <c r="AM12" s="179" t="str">
        <f>IF(ROUND((DATE($AA$1,AM$2,$Z11)-$A$1)/7,0)=ROUND((DATE($AA$1,AM$2,$Z12)-$A$1)/7,0),"","P"&amp;ROUND((DATE($AA$1,AM$2,$Z12)-$A$1)/7,0)-'1週目'!$P$2+$A$2)</f>
        <v/>
      </c>
      <c r="AN12" s="140" t="str">
        <f>IF(ROUND((DATE($AA$1,AM$2,$Z13)-$A$1)/7,0)=ROUND((DATE($AA$1,AM$2,$Z12)-$A$1)/7,0),"","P"&amp;ROUND((DATE($AA$1,AM$2,$Z12)-$A$1)/7,0)-'1週目'!$P$2+$A$2)</f>
        <v/>
      </c>
      <c r="AO12" s="179" t="str">
        <f>IF(ROUND((DATE($AA$1,AO$2,$Z11)-$A$1)/7,0)=ROUND((DATE($AA$1,AO$2,$Z12)-$A$1)/7,0),"","P"&amp;ROUND((DATE($AA$1,AO$2,$Z12)-$A$1)/7,0)-'1週目'!$P$2+$A$2)</f>
        <v/>
      </c>
      <c r="AP12" s="140" t="str">
        <f>IF(ROUND((DATE($AA$1,AO$2,$Z13)-$A$1)/7,0)=ROUND((DATE($AA$1,AO$2,$Z12)-$A$1)/7,0),"","P"&amp;ROUND((DATE($AA$1,AO$2,$Z12)-$A$1)/7,0)-'1週目'!$P$2+$A$2)</f>
        <v/>
      </c>
      <c r="AQ12" s="179" t="str">
        <f>IF(ROUND((DATE($AA$1,AQ$2,$Z11)-$A$1)/7,0)=ROUND((DATE($AA$1,AQ$2,$Z12)-$A$1)/7,0),"","P"&amp;ROUND((DATE($AA$1,AQ$2,$Z12)-$A$1)/7,0)-'1週目'!$P$2+$A$2)</f>
        <v/>
      </c>
      <c r="AR12" s="140" t="str">
        <f>IF(ROUND((DATE($AA$1,AQ$2,$Z13)-$A$1)/7,0)=ROUND((DATE($AA$1,AQ$2,$Z12)-$A$1)/7,0),"","P"&amp;ROUND((DATE($AA$1,AQ$2,$Z12)-$A$1)/7,0)-'1週目'!$P$2+$A$2)</f>
        <v/>
      </c>
      <c r="AS12" s="179" t="str">
        <f>IF(ROUND((DATE($AA$1+1,AS$2,$Z11)-$A$1)/7,0)=ROUND((DATE($AA$1+1,AS$2,$Z12)-$A$1)/7,0),"","P"&amp;ROUND((DATE($AA$1+1,AS$2,$Z12)-$A$1)/7,0)-'1週目'!$P$2+$A$2)</f>
        <v/>
      </c>
      <c r="AT12" s="140" t="str">
        <f>IF(ROUND((DATE($AA$1+1,AS$2,$Z13)-$A$1)/7,0)=ROUND((DATE($AA$1+1,AS$2,$Z12)-$A$1)/7,0),"","P"&amp;ROUND((DATE($AA$1+1,AS$2,$Z12)-$A$1)/7,0)-'1週目'!$P$2+$A$2)</f>
        <v>P43</v>
      </c>
      <c r="AU12" s="179" t="str">
        <f>IF(ROUND((DATE($AA$1+1,AU$2,$Z11)-$A$1)/7,0)=ROUND((DATE($AA$1+1,AU$2,$Z12)-$A$1)/7,0),"","P"&amp;ROUND((DATE($AA$1+1,AU$2,$Z12)-$A$1)/7,0)-'1週目'!$P$2+$A$2)</f>
        <v/>
      </c>
      <c r="AV12" s="140" t="str">
        <f>IF(ROUND((DATE($AA$1+1,AU$2,$Z13)-$A$1)/7,0)=ROUND((DATE($AA$1+1,AU$2,$Z12)-$A$1)/7,0),"","P"&amp;ROUND((DATE($AA$1+1,AU$2,$Z12)-$A$1)/7,0)-'1週目'!$P$2+$A$2)</f>
        <v/>
      </c>
      <c r="AW12" s="179" t="str">
        <f>IF(ROUND((DATE($AA$1+1,AW$2,$Z11)-$A$1)/7,0)=ROUND((DATE($AA$1+1,AW$2,$Z12)-$A$1)/7,0),"","P"&amp;ROUND((DATE($AA$1+1,AW$2,$Z12)-$A$1)/7,0)-'1週目'!$P$2+$A$2)</f>
        <v/>
      </c>
      <c r="AX12" s="146" t="str">
        <f>IF(ROUND((DATE($AA$1+1,AW$2,$Z13)-$A$1)/7,0)=ROUND((DATE($AA$1+1,AW$2,$Z12)-$A$1)/7,0),"","P"&amp;ROUND((DATE($AA$1+1,AW$2,$Z12)-$A$1)/7,0)-'1週目'!$P$2+$A$2)</f>
        <v/>
      </c>
    </row>
    <row r="13" spans="1:53" s="128" customFormat="1" ht="39" customHeight="1">
      <c r="B13" s="129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Z13" s="128">
        <v>11</v>
      </c>
      <c r="AA13" s="177" t="str">
        <f>IF(ROUND((DATE($AA$1,AA$2,$Z12)-$A$1)/7,0)=ROUND((DATE($AA$1,AA$2,$Z13)-$A$1)/7,0),"","P"&amp;ROUND((DATE($AA$1,AA$2,$Z13)-$A$1)/7,0)-'1週目'!$P$2+$A$2)</f>
        <v/>
      </c>
      <c r="AB13" s="140" t="str">
        <f>IF(ROUND((DATE($AA$1,AA$2,$Z14)-$A$1)/7,0)=ROUND((DATE($AA$1,AA$2,$Z13)-$A$1)/7,0),"","P"&amp;ROUND((DATE($AA$1,AA$2,$Z13)-$A$1)/7,0)-'1週目'!$P$2+$A$2)</f>
        <v/>
      </c>
      <c r="AC13" s="179" t="str">
        <f>IF(ROUND((DATE($AA$1,AC$2,$Z12)-$A$1)/7,0)=ROUND((DATE($AA$1,AC$2,$Z13)-$A$1)/7,0),"","P"&amp;ROUND((DATE($AA$1,AC$2,$Z13)-$A$1)/7,0)-'1週目'!$P$2+$A$2)</f>
        <v>P9</v>
      </c>
      <c r="AD13" s="140" t="str">
        <f>IF(ROUND((DATE($AA$1,AC$2,$Z14)-$A$1)/7,0)=ROUND((DATE($AA$1,AC$2,$Z13)-$A$1)/7,0),"","P"&amp;ROUND((DATE($AA$1,AC$2,$Z13)-$A$1)/7,0)-'1週目'!$P$2+$A$2)</f>
        <v/>
      </c>
      <c r="AE13" s="179" t="str">
        <f>IF(ROUND((DATE($AA$1,AE$2,$Z12)-$A$1)/7,0)=ROUND((DATE($AA$1,AE$2,$Z13)-$A$1)/7,0),"","P"&amp;ROUND((DATE($AA$1,AE$2,$Z13)-$A$1)/7,0)-'1週目'!$P$2+$A$2)</f>
        <v/>
      </c>
      <c r="AF13" s="140" t="str">
        <f>IF(ROUND((DATE($AA$1,AE$2,$Z14)-$A$1)/7,0)=ROUND((DATE($AA$1,AE$2,$Z13)-$A$1)/7,0),"","P"&amp;ROUND((DATE($AA$1,AE$2,$Z13)-$A$1)/7,0)-'1週目'!$P$2+$A$2)</f>
        <v/>
      </c>
      <c r="AG13" s="179" t="str">
        <f>IF(ROUND((DATE($AA$1,AG$2,$Z12)-$A$1)/7,0)=ROUND((DATE($AA$1,AG$2,$Z13)-$A$1)/7,0),"","P"&amp;ROUND((DATE($AA$1,AG$2,$Z13)-$A$1)/7,0)-'1週目'!$P$2+$A$2)</f>
        <v/>
      </c>
      <c r="AH13" s="140" t="str">
        <f>IF(ROUND((DATE($AA$1,AG$2,$Z14)-$A$1)/7,0)=ROUND((DATE($AA$1,AG$2,$Z13)-$A$1)/7,0),"","P"&amp;ROUND((DATE($AA$1,AG$2,$Z13)-$A$1)/7,0)-'1週目'!$P$2+$A$2)</f>
        <v/>
      </c>
      <c r="AI13" s="179" t="str">
        <f>IF(ROUND((DATE($AA$1,AI$2,$Z12)-$A$1)/7,0)=ROUND((DATE($AA$1,AI$2,$Z13)-$A$1)/7,0),"","P"&amp;ROUND((DATE($AA$1,AI$2,$Z13)-$A$1)/7,0)-'1週目'!$P$2+$A$2)</f>
        <v/>
      </c>
      <c r="AJ13" s="140" t="str">
        <f>IF(ROUND((DATE($AA$1,AI$2,$Z14)-$A$1)/7,0)=ROUND((DATE($AA$1,AI$2,$Z13)-$A$1)/7,0),"","P"&amp;ROUND((DATE($AA$1,AI$2,$Z13)-$A$1)/7,0)-'1週目'!$P$2+$A$2)</f>
        <v/>
      </c>
      <c r="AK13" s="179" t="str">
        <f>IF(ROUND((DATE($AA$1,AK$2,$Z12)-$A$1)/7,0)=ROUND((DATE($AA$1,AK$2,$Z13)-$A$1)/7,0),"","P"&amp;ROUND((DATE($AA$1,AK$2,$Z13)-$A$1)/7,0)-'1週目'!$P$2+$A$2)</f>
        <v/>
      </c>
      <c r="AL13" s="140" t="str">
        <f>IF(ROUND((DATE($AA$1,AK$2,$Z14)-$A$1)/7,0)=ROUND((DATE($AA$1,AK$2,$Z13)-$A$1)/7,0),"","P"&amp;ROUND((DATE($AA$1,AK$2,$Z13)-$A$1)/7,0)-'1週目'!$P$2+$A$2)</f>
        <v/>
      </c>
      <c r="AM13" s="179" t="str">
        <f>IF(ROUND((DATE($AA$1,AM$2,$Z12)-$A$1)/7,0)=ROUND((DATE($AA$1,AM$2,$Z13)-$A$1)/7,0),"","P"&amp;ROUND((DATE($AA$1,AM$2,$Z13)-$A$1)/7,0)-'1週目'!$P$2+$A$2)</f>
        <v/>
      </c>
      <c r="AN13" s="140" t="str">
        <f>IF(ROUND((DATE($AA$1,AM$2,$Z14)-$A$1)/7,0)=ROUND((DATE($AA$1,AM$2,$Z13)-$A$1)/7,0),"","P"&amp;ROUND((DATE($AA$1,AM$2,$Z13)-$A$1)/7,0)-'1週目'!$P$2+$A$2)</f>
        <v>P30</v>
      </c>
      <c r="AO13" s="179" t="str">
        <f>IF(ROUND((DATE($AA$1,AO$2,$Z12)-$A$1)/7,0)=ROUND((DATE($AA$1,AO$2,$Z13)-$A$1)/7,0),"","P"&amp;ROUND((DATE($AA$1,AO$2,$Z13)-$A$1)/7,0)-'1週目'!$P$2+$A$2)</f>
        <v/>
      </c>
      <c r="AP13" s="140" t="str">
        <f>IF(ROUND((DATE($AA$1,AO$2,$Z14)-$A$1)/7,0)=ROUND((DATE($AA$1,AO$2,$Z13)-$A$1)/7,0),"","P"&amp;ROUND((DATE($AA$1,AO$2,$Z13)-$A$1)/7,0)-'1週目'!$P$2+$A$2)</f>
        <v/>
      </c>
      <c r="AQ13" s="179" t="str">
        <f>IF(ROUND((DATE($AA$1,AQ$2,$Z12)-$A$1)/7,0)=ROUND((DATE($AA$1,AQ$2,$Z13)-$A$1)/7,0),"","P"&amp;ROUND((DATE($AA$1,AQ$2,$Z13)-$A$1)/7,0)-'1週目'!$P$2+$A$2)</f>
        <v/>
      </c>
      <c r="AR13" s="140" t="str">
        <f>IF(ROUND((DATE($AA$1,AQ$2,$Z14)-$A$1)/7,0)=ROUND((DATE($AA$1,AQ$2,$Z13)-$A$1)/7,0),"","P"&amp;ROUND((DATE($AA$1,AQ$2,$Z13)-$A$1)/7,0)-'1週目'!$P$2+$A$2)</f>
        <v/>
      </c>
      <c r="AS13" s="179" t="str">
        <f>IF(ROUND((DATE($AA$1+1,AS$2,$Z12)-$A$1)/7,0)=ROUND((DATE($AA$1+1,AS$2,$Z13)-$A$1)/7,0),"","P"&amp;ROUND((DATE($AA$1+1,AS$2,$Z13)-$A$1)/7,0)-'1週目'!$P$2+$A$2)</f>
        <v>P44</v>
      </c>
      <c r="AT13" s="140" t="str">
        <f>IF(ROUND((DATE($AA$1+1,AS$2,$Z14)-$A$1)/7,0)=ROUND((DATE($AA$1+1,AS$2,$Z13)-$A$1)/7,0),"","P"&amp;ROUND((DATE($AA$1+1,AS$2,$Z13)-$A$1)/7,0)-'1週目'!$P$2+$A$2)</f>
        <v/>
      </c>
      <c r="AU13" s="179" t="str">
        <f>IF(ROUND((DATE($AA$1+1,AU$2,$Z12)-$A$1)/7,0)=ROUND((DATE($AA$1+1,AU$2,$Z13)-$A$1)/7,0),"","P"&amp;ROUND((DATE($AA$1+1,AU$2,$Z13)-$A$1)/7,0)-'1週目'!$P$2+$A$2)</f>
        <v/>
      </c>
      <c r="AV13" s="140" t="str">
        <f>IF(ROUND((DATE($AA$1+1,AU$2,$Z14)-$A$1)/7,0)=ROUND((DATE($AA$1+1,AU$2,$Z13)-$A$1)/7,0),"","P"&amp;ROUND((DATE($AA$1+1,AU$2,$Z13)-$A$1)/7,0)-'1週目'!$P$2+$A$2)</f>
        <v/>
      </c>
      <c r="AW13" s="179" t="str">
        <f>IF(ROUND((DATE($AA$1+1,AW$2,$Z12)-$A$1)/7,0)=ROUND((DATE($AA$1+1,AW$2,$Z13)-$A$1)/7,0),"","P"&amp;ROUND((DATE($AA$1+1,AW$2,$Z13)-$A$1)/7,0)-'1週目'!$P$2+$A$2)</f>
        <v/>
      </c>
      <c r="AX13" s="146" t="str">
        <f>IF(ROUND((DATE($AA$1+1,AW$2,$Z14)-$A$1)/7,0)=ROUND((DATE($AA$1+1,AW$2,$Z13)-$A$1)/7,0),"","P"&amp;ROUND((DATE($AA$1+1,AW$2,$Z13)-$A$1)/7,0)-'1週目'!$P$2+$A$2)</f>
        <v/>
      </c>
    </row>
    <row r="14" spans="1:53" s="128" customFormat="1" ht="39" customHeight="1">
      <c r="B14" s="129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Z14" s="128">
        <v>12</v>
      </c>
      <c r="AA14" s="177" t="str">
        <f>IF(ROUND((DATE($AA$1,AA$2,$Z13)-$A$1)/7,0)=ROUND((DATE($AA$1,AA$2,$Z14)-$A$1)/7,0),"","P"&amp;ROUND((DATE($AA$1,AA$2,$Z14)-$A$1)/7,0)-'1週目'!$P$2+$A$2)</f>
        <v/>
      </c>
      <c r="AB14" s="140" t="str">
        <f>IF(ROUND((DATE($AA$1,AA$2,$Z15)-$A$1)/7,0)=ROUND((DATE($AA$1,AA$2,$Z14)-$A$1)/7,0),"","P"&amp;ROUND((DATE($AA$1,AA$2,$Z14)-$A$1)/7,0)-'1週目'!$P$2+$A$2)</f>
        <v>P4</v>
      </c>
      <c r="AC14" s="179" t="str">
        <f>IF(ROUND((DATE($AA$1,AC$2,$Z13)-$A$1)/7,0)=ROUND((DATE($AA$1,AC$2,$Z14)-$A$1)/7,0),"","P"&amp;ROUND((DATE($AA$1,AC$2,$Z14)-$A$1)/7,0)-'1週目'!$P$2+$A$2)</f>
        <v/>
      </c>
      <c r="AD14" s="140" t="str">
        <f>IF(ROUND((DATE($AA$1,AC$2,$Z15)-$A$1)/7,0)=ROUND((DATE($AA$1,AC$2,$Z14)-$A$1)/7,0),"","P"&amp;ROUND((DATE($AA$1,AC$2,$Z14)-$A$1)/7,0)-'1週目'!$P$2+$A$2)</f>
        <v/>
      </c>
      <c r="AE14" s="179" t="str">
        <f>IF(ROUND((DATE($AA$1,AE$2,$Z13)-$A$1)/7,0)=ROUND((DATE($AA$1,AE$2,$Z14)-$A$1)/7,0),"","P"&amp;ROUND((DATE($AA$1,AE$2,$Z14)-$A$1)/7,0)-'1週目'!$P$2+$A$2)</f>
        <v/>
      </c>
      <c r="AF14" s="140" t="str">
        <f>IF(ROUND((DATE($AA$1,AE$2,$Z15)-$A$1)/7,0)=ROUND((DATE($AA$1,AE$2,$Z14)-$A$1)/7,0),"","P"&amp;ROUND((DATE($AA$1,AE$2,$Z14)-$A$1)/7,0)-'1週目'!$P$2+$A$2)</f>
        <v/>
      </c>
      <c r="AG14" s="179" t="str">
        <f>IF(ROUND((DATE($AA$1,AG$2,$Z13)-$A$1)/7,0)=ROUND((DATE($AA$1,AG$2,$Z14)-$A$1)/7,0),"","P"&amp;ROUND((DATE($AA$1,AG$2,$Z14)-$A$1)/7,0)-'1週目'!$P$2+$A$2)</f>
        <v/>
      </c>
      <c r="AH14" s="140" t="str">
        <f>IF(ROUND((DATE($AA$1,AG$2,$Z15)-$A$1)/7,0)=ROUND((DATE($AA$1,AG$2,$Z14)-$A$1)/7,0),"","P"&amp;ROUND((DATE($AA$1,AG$2,$Z14)-$A$1)/7,0)-'1週目'!$P$2+$A$2)</f>
        <v>P17</v>
      </c>
      <c r="AI14" s="179" t="str">
        <f>IF(ROUND((DATE($AA$1,AI$2,$Z13)-$A$1)/7,0)=ROUND((DATE($AA$1,AI$2,$Z14)-$A$1)/7,0),"","P"&amp;ROUND((DATE($AA$1,AI$2,$Z14)-$A$1)/7,0)-'1週目'!$P$2+$A$2)</f>
        <v/>
      </c>
      <c r="AJ14" s="140" t="str">
        <f>IF(ROUND((DATE($AA$1,AI$2,$Z15)-$A$1)/7,0)=ROUND((DATE($AA$1,AI$2,$Z14)-$A$1)/7,0),"","P"&amp;ROUND((DATE($AA$1,AI$2,$Z14)-$A$1)/7,0)-'1週目'!$P$2+$A$2)</f>
        <v/>
      </c>
      <c r="AK14" s="179" t="str">
        <f>IF(ROUND((DATE($AA$1,AK$2,$Z13)-$A$1)/7,0)=ROUND((DATE($AA$1,AK$2,$Z14)-$A$1)/7,0),"","P"&amp;ROUND((DATE($AA$1,AK$2,$Z14)-$A$1)/7,0)-'1週目'!$P$2+$A$2)</f>
        <v/>
      </c>
      <c r="AL14" s="140" t="str">
        <f>IF(ROUND((DATE($AA$1,AK$2,$Z15)-$A$1)/7,0)=ROUND((DATE($AA$1,AK$2,$Z14)-$A$1)/7,0),"","P"&amp;ROUND((DATE($AA$1,AK$2,$Z14)-$A$1)/7,0)-'1週目'!$P$2+$A$2)</f>
        <v/>
      </c>
      <c r="AM14" s="179" t="str">
        <f>IF(ROUND((DATE($AA$1,AM$2,$Z13)-$A$1)/7,0)=ROUND((DATE($AA$1,AM$2,$Z14)-$A$1)/7,0),"","P"&amp;ROUND((DATE($AA$1,AM$2,$Z14)-$A$1)/7,0)-'1週目'!$P$2+$A$2)</f>
        <v>P31</v>
      </c>
      <c r="AN14" s="140" t="str">
        <f>IF(ROUND((DATE($AA$1,AM$2,$Z15)-$A$1)/7,0)=ROUND((DATE($AA$1,AM$2,$Z14)-$A$1)/7,0),"","P"&amp;ROUND((DATE($AA$1,AM$2,$Z14)-$A$1)/7,0)-'1週目'!$P$2+$A$2)</f>
        <v/>
      </c>
      <c r="AO14" s="179" t="str">
        <f>IF(ROUND((DATE($AA$1,AO$2,$Z13)-$A$1)/7,0)=ROUND((DATE($AA$1,AO$2,$Z14)-$A$1)/7,0),"","P"&amp;ROUND((DATE($AA$1,AO$2,$Z14)-$A$1)/7,0)-'1週目'!$P$2+$A$2)</f>
        <v/>
      </c>
      <c r="AP14" s="140" t="str">
        <f>IF(ROUND((DATE($AA$1,AO$2,$Z15)-$A$1)/7,0)=ROUND((DATE($AA$1,AO$2,$Z14)-$A$1)/7,0),"","P"&amp;ROUND((DATE($AA$1,AO$2,$Z14)-$A$1)/7,0)-'1週目'!$P$2+$A$2)</f>
        <v/>
      </c>
      <c r="AQ14" s="179" t="str">
        <f>IF(ROUND((DATE($AA$1,AQ$2,$Z13)-$A$1)/7,0)=ROUND((DATE($AA$1,AQ$2,$Z14)-$A$1)/7,0),"","P"&amp;ROUND((DATE($AA$1,AQ$2,$Z14)-$A$1)/7,0)-'1週目'!$P$2+$A$2)</f>
        <v/>
      </c>
      <c r="AR14" s="140" t="str">
        <f>IF(ROUND((DATE($AA$1,AQ$2,$Z15)-$A$1)/7,0)=ROUND((DATE($AA$1,AQ$2,$Z14)-$A$1)/7,0),"","P"&amp;ROUND((DATE($AA$1,AQ$2,$Z14)-$A$1)/7,0)-'1週目'!$P$2+$A$2)</f>
        <v/>
      </c>
      <c r="AS14" s="179" t="str">
        <f>IF(ROUND((DATE($AA$1+1,AS$2,$Z13)-$A$1)/7,0)=ROUND((DATE($AA$1+1,AS$2,$Z14)-$A$1)/7,0),"","P"&amp;ROUND((DATE($AA$1+1,AS$2,$Z14)-$A$1)/7,0)-'1週目'!$P$2+$A$2)</f>
        <v/>
      </c>
      <c r="AT14" s="140" t="str">
        <f>IF(ROUND((DATE($AA$1+1,AS$2,$Z15)-$A$1)/7,0)=ROUND((DATE($AA$1+1,AS$2,$Z14)-$A$1)/7,0),"","P"&amp;ROUND((DATE($AA$1+1,AS$2,$Z14)-$A$1)/7,0)-'1週目'!$P$2+$A$2)</f>
        <v/>
      </c>
      <c r="AU14" s="179" t="str">
        <f>IF(ROUND((DATE($AA$1+1,AU$2,$Z13)-$A$1)/7,0)=ROUND((DATE($AA$1+1,AU$2,$Z14)-$A$1)/7,0),"","P"&amp;ROUND((DATE($AA$1+1,AU$2,$Z14)-$A$1)/7,0)-'1週目'!$P$2+$A$2)</f>
        <v/>
      </c>
      <c r="AV14" s="140" t="str">
        <f>IF(ROUND((DATE($AA$1+1,AU$2,$Z15)-$A$1)/7,0)=ROUND((DATE($AA$1+1,AU$2,$Z14)-$A$1)/7,0),"","P"&amp;ROUND((DATE($AA$1+1,AU$2,$Z14)-$A$1)/7,0)-'1週目'!$P$2+$A$2)</f>
        <v/>
      </c>
      <c r="AW14" s="179" t="str">
        <f>IF(ROUND((DATE($AA$1+1,AW$2,$Z13)-$A$1)/7,0)=ROUND((DATE($AA$1+1,AW$2,$Z14)-$A$1)/7,0),"","P"&amp;ROUND((DATE($AA$1+1,AW$2,$Z14)-$A$1)/7,0)-'1週目'!$P$2+$A$2)</f>
        <v/>
      </c>
      <c r="AX14" s="146" t="str">
        <f>IF(ROUND((DATE($AA$1+1,AW$2,$Z15)-$A$1)/7,0)=ROUND((DATE($AA$1+1,AW$2,$Z14)-$A$1)/7,0),"","P"&amp;ROUND((DATE($AA$1+1,AW$2,$Z14)-$A$1)/7,0)-'1週目'!$P$2+$A$2)</f>
        <v/>
      </c>
    </row>
    <row r="15" spans="1:53" s="128" customFormat="1" ht="39" customHeight="1">
      <c r="B15" s="12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Z15" s="128">
        <v>13</v>
      </c>
      <c r="AA15" s="177" t="str">
        <f>IF(ROUND((DATE($AA$1,AA$2,$Z14)-$A$1)/7,0)=ROUND((DATE($AA$1,AA$2,$Z15)-$A$1)/7,0),"","P"&amp;ROUND((DATE($AA$1,AA$2,$Z15)-$A$1)/7,0)-'1週目'!$P$2+$A$2)</f>
        <v>P5</v>
      </c>
      <c r="AB15" s="140" t="str">
        <f>IF(ROUND((DATE($AA$1,AA$2,$Z16)-$A$1)/7,0)=ROUND((DATE($AA$1,AA$2,$Z15)-$A$1)/7,0),"","P"&amp;ROUND((DATE($AA$1,AA$2,$Z15)-$A$1)/7,0)-'1週目'!$P$2+$A$2)</f>
        <v/>
      </c>
      <c r="AC15" s="179" t="str">
        <f>IF(ROUND((DATE($AA$1,AC$2,$Z14)-$A$1)/7,0)=ROUND((DATE($AA$1,AC$2,$Z15)-$A$1)/7,0),"","P"&amp;ROUND((DATE($AA$1,AC$2,$Z15)-$A$1)/7,0)-'1週目'!$P$2+$A$2)</f>
        <v/>
      </c>
      <c r="AD15" s="140" t="str">
        <f>IF(ROUND((DATE($AA$1,AC$2,$Z16)-$A$1)/7,0)=ROUND((DATE($AA$1,AC$2,$Z15)-$A$1)/7,0),"","P"&amp;ROUND((DATE($AA$1,AC$2,$Z15)-$A$1)/7,0)-'1週目'!$P$2+$A$2)</f>
        <v/>
      </c>
      <c r="AE15" s="179" t="str">
        <f>IF(ROUND((DATE($AA$1,AE$2,$Z14)-$A$1)/7,0)=ROUND((DATE($AA$1,AE$2,$Z15)-$A$1)/7,0),"","P"&amp;ROUND((DATE($AA$1,AE$2,$Z15)-$A$1)/7,0)-'1週目'!$P$2+$A$2)</f>
        <v/>
      </c>
      <c r="AF15" s="140" t="str">
        <f>IF(ROUND((DATE($AA$1,AE$2,$Z16)-$A$1)/7,0)=ROUND((DATE($AA$1,AE$2,$Z15)-$A$1)/7,0),"","P"&amp;ROUND((DATE($AA$1,AE$2,$Z15)-$A$1)/7,0)-'1週目'!$P$2+$A$2)</f>
        <v/>
      </c>
      <c r="AG15" s="179" t="str">
        <f>IF(ROUND((DATE($AA$1,AG$2,$Z14)-$A$1)/7,0)=ROUND((DATE($AA$1,AG$2,$Z15)-$A$1)/7,0),"","P"&amp;ROUND((DATE($AA$1,AG$2,$Z15)-$A$1)/7,0)-'1週目'!$P$2+$A$2)</f>
        <v>P18</v>
      </c>
      <c r="AH15" s="140" t="str">
        <f>IF(ROUND((DATE($AA$1,AG$2,$Z16)-$A$1)/7,0)=ROUND((DATE($AA$1,AG$2,$Z15)-$A$1)/7,0),"","P"&amp;ROUND((DATE($AA$1,AG$2,$Z15)-$A$1)/7,0)-'1週目'!$P$2+$A$2)</f>
        <v/>
      </c>
      <c r="AI15" s="179" t="str">
        <f>IF(ROUND((DATE($AA$1,AI$2,$Z14)-$A$1)/7,0)=ROUND((DATE($AA$1,AI$2,$Z15)-$A$1)/7,0),"","P"&amp;ROUND((DATE($AA$1,AI$2,$Z15)-$A$1)/7,0)-'1週目'!$P$2+$A$2)</f>
        <v/>
      </c>
      <c r="AJ15" s="140" t="str">
        <f>IF(ROUND((DATE($AA$1,AI$2,$Z16)-$A$1)/7,0)=ROUND((DATE($AA$1,AI$2,$Z15)-$A$1)/7,0),"","P"&amp;ROUND((DATE($AA$1,AI$2,$Z15)-$A$1)/7,0)-'1週目'!$P$2+$A$2)</f>
        <v/>
      </c>
      <c r="AK15" s="179" t="str">
        <f>IF(ROUND((DATE($AA$1,AK$2,$Z14)-$A$1)/7,0)=ROUND((DATE($AA$1,AK$2,$Z15)-$A$1)/7,0),"","P"&amp;ROUND((DATE($AA$1,AK$2,$Z15)-$A$1)/7,0)-'1週目'!$P$2+$A$2)</f>
        <v/>
      </c>
      <c r="AL15" s="140" t="str">
        <f>IF(ROUND((DATE($AA$1,AK$2,$Z16)-$A$1)/7,0)=ROUND((DATE($AA$1,AK$2,$Z15)-$A$1)/7,0),"","P"&amp;ROUND((DATE($AA$1,AK$2,$Z15)-$A$1)/7,0)-'1週目'!$P$2+$A$2)</f>
        <v>P26</v>
      </c>
      <c r="AM15" s="179" t="str">
        <f>IF(ROUND((DATE($AA$1,AM$2,$Z14)-$A$1)/7,0)=ROUND((DATE($AA$1,AM$2,$Z15)-$A$1)/7,0),"","P"&amp;ROUND((DATE($AA$1,AM$2,$Z15)-$A$1)/7,0)-'1週目'!$P$2+$A$2)</f>
        <v/>
      </c>
      <c r="AN15" s="140" t="str">
        <f>IF(ROUND((DATE($AA$1,AM$2,$Z16)-$A$1)/7,0)=ROUND((DATE($AA$1,AM$2,$Z15)-$A$1)/7,0),"","P"&amp;ROUND((DATE($AA$1,AM$2,$Z15)-$A$1)/7,0)-'1週目'!$P$2+$A$2)</f>
        <v/>
      </c>
      <c r="AO15" s="179" t="str">
        <f>IF(ROUND((DATE($AA$1,AO$2,$Z14)-$A$1)/7,0)=ROUND((DATE($AA$1,AO$2,$Z15)-$A$1)/7,0),"","P"&amp;ROUND((DATE($AA$1,AO$2,$Z15)-$A$1)/7,0)-'1週目'!$P$2+$A$2)</f>
        <v/>
      </c>
      <c r="AP15" s="140" t="str">
        <f>IF(ROUND((DATE($AA$1,AO$2,$Z16)-$A$1)/7,0)=ROUND((DATE($AA$1,AO$2,$Z15)-$A$1)/7,0),"","P"&amp;ROUND((DATE($AA$1,AO$2,$Z15)-$A$1)/7,0)-'1週目'!$P$2+$A$2)</f>
        <v/>
      </c>
      <c r="AQ15" s="179" t="str">
        <f>IF(ROUND((DATE($AA$1,AQ$2,$Z14)-$A$1)/7,0)=ROUND((DATE($AA$1,AQ$2,$Z15)-$A$1)/7,0),"","P"&amp;ROUND((DATE($AA$1,AQ$2,$Z15)-$A$1)/7,0)-'1週目'!$P$2+$A$2)</f>
        <v/>
      </c>
      <c r="AR15" s="140" t="str">
        <f>IF(ROUND((DATE($AA$1,AQ$2,$Z16)-$A$1)/7,0)=ROUND((DATE($AA$1,AQ$2,$Z15)-$A$1)/7,0),"","P"&amp;ROUND((DATE($AA$1,AQ$2,$Z15)-$A$1)/7,0)-'1週目'!$P$2+$A$2)</f>
        <v>P39</v>
      </c>
      <c r="AS15" s="179" t="str">
        <f>IF(ROUND((DATE($AA$1+1,AS$2,$Z14)-$A$1)/7,0)=ROUND((DATE($AA$1+1,AS$2,$Z15)-$A$1)/7,0),"","P"&amp;ROUND((DATE($AA$1+1,AS$2,$Z15)-$A$1)/7,0)-'1週目'!$P$2+$A$2)</f>
        <v/>
      </c>
      <c r="AT15" s="140" t="str">
        <f>IF(ROUND((DATE($AA$1+1,AS$2,$Z16)-$A$1)/7,0)=ROUND((DATE($AA$1+1,AS$2,$Z15)-$A$1)/7,0),"","P"&amp;ROUND((DATE($AA$1+1,AS$2,$Z15)-$A$1)/7,0)-'1週目'!$P$2+$A$2)</f>
        <v/>
      </c>
      <c r="AU15" s="179" t="str">
        <f>IF(ROUND((DATE($AA$1+1,AU$2,$Z14)-$A$1)/7,0)=ROUND((DATE($AA$1+1,AU$2,$Z15)-$A$1)/7,0),"","P"&amp;ROUND((DATE($AA$1+1,AU$2,$Z15)-$A$1)/7,0)-'1週目'!$P$2+$A$2)</f>
        <v/>
      </c>
      <c r="AV15" s="140" t="str">
        <f>IF(ROUND((DATE($AA$1+1,AU$2,$Z16)-$A$1)/7,0)=ROUND((DATE($AA$1+1,AU$2,$Z15)-$A$1)/7,0),"","P"&amp;ROUND((DATE($AA$1+1,AU$2,$Z15)-$A$1)/7,0)-'1週目'!$P$2+$A$2)</f>
        <v/>
      </c>
      <c r="AW15" s="179" t="str">
        <f>IF(ROUND((DATE($AA$1+1,AW$2,$Z14)-$A$1)/7,0)=ROUND((DATE($AA$1+1,AW$2,$Z15)-$A$1)/7,0),"","P"&amp;ROUND((DATE($AA$1+1,AW$2,$Z15)-$A$1)/7,0)-'1週目'!$P$2+$A$2)</f>
        <v/>
      </c>
      <c r="AX15" s="146" t="str">
        <f>IF(ROUND((DATE($AA$1+1,AW$2,$Z16)-$A$1)/7,0)=ROUND((DATE($AA$1+1,AW$2,$Z15)-$A$1)/7,0),"","P"&amp;ROUND((DATE($AA$1+1,AW$2,$Z15)-$A$1)/7,0)-'1週目'!$P$2+$A$2)</f>
        <v/>
      </c>
    </row>
    <row r="16" spans="1:53" s="128" customFormat="1" ht="39" customHeight="1">
      <c r="B16" s="129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Z16" s="128">
        <v>14</v>
      </c>
      <c r="AA16" s="177" t="str">
        <f>IF(ROUND((DATE($AA$1,AA$2,$Z15)-$A$1)/7,0)=ROUND((DATE($AA$1,AA$2,$Z16)-$A$1)/7,0),"","P"&amp;ROUND((DATE($AA$1,AA$2,$Z16)-$A$1)/7,0)-'1週目'!$P$2+$A$2)</f>
        <v/>
      </c>
      <c r="AB16" s="140" t="str">
        <f>IF(ROUND((DATE($AA$1,AA$2,$Z17)-$A$1)/7,0)=ROUND((DATE($AA$1,AA$2,$Z16)-$A$1)/7,0),"","P"&amp;ROUND((DATE($AA$1,AA$2,$Z16)-$A$1)/7,0)-'1週目'!$P$2+$A$2)</f>
        <v/>
      </c>
      <c r="AC16" s="179" t="str">
        <f>IF(ROUND((DATE($AA$1,AC$2,$Z15)-$A$1)/7,0)=ROUND((DATE($AA$1,AC$2,$Z16)-$A$1)/7,0),"","P"&amp;ROUND((DATE($AA$1,AC$2,$Z16)-$A$1)/7,0)-'1週目'!$P$2+$A$2)</f>
        <v/>
      </c>
      <c r="AD16" s="140" t="str">
        <f>IF(ROUND((DATE($AA$1,AC$2,$Z17)-$A$1)/7,0)=ROUND((DATE($AA$1,AC$2,$Z16)-$A$1)/7,0),"","P"&amp;ROUND((DATE($AA$1,AC$2,$Z16)-$A$1)/7,0)-'1週目'!$P$2+$A$2)</f>
        <v/>
      </c>
      <c r="AE16" s="179" t="str">
        <f>IF(ROUND((DATE($AA$1,AE$2,$Z15)-$A$1)/7,0)=ROUND((DATE($AA$1,AE$2,$Z16)-$A$1)/7,0),"","P"&amp;ROUND((DATE($AA$1,AE$2,$Z16)-$A$1)/7,0)-'1週目'!$P$2+$A$2)</f>
        <v/>
      </c>
      <c r="AF16" s="140" t="str">
        <f>IF(ROUND((DATE($AA$1,AE$2,$Z17)-$A$1)/7,0)=ROUND((DATE($AA$1,AE$2,$Z16)-$A$1)/7,0),"","P"&amp;ROUND((DATE($AA$1,AE$2,$Z16)-$A$1)/7,0)-'1週目'!$P$2+$A$2)</f>
        <v>P13</v>
      </c>
      <c r="AG16" s="179" t="str">
        <f>IF(ROUND((DATE($AA$1,AG$2,$Z15)-$A$1)/7,0)=ROUND((DATE($AA$1,AG$2,$Z16)-$A$1)/7,0),"","P"&amp;ROUND((DATE($AA$1,AG$2,$Z16)-$A$1)/7,0)-'1週目'!$P$2+$A$2)</f>
        <v/>
      </c>
      <c r="AH16" s="140" t="str">
        <f>IF(ROUND((DATE($AA$1,AG$2,$Z17)-$A$1)/7,0)=ROUND((DATE($AA$1,AG$2,$Z16)-$A$1)/7,0),"","P"&amp;ROUND((DATE($AA$1,AG$2,$Z16)-$A$1)/7,0)-'1週目'!$P$2+$A$2)</f>
        <v/>
      </c>
      <c r="AI16" s="179" t="str">
        <f>IF(ROUND((DATE($AA$1,AI$2,$Z15)-$A$1)/7,0)=ROUND((DATE($AA$1,AI$2,$Z16)-$A$1)/7,0),"","P"&amp;ROUND((DATE($AA$1,AI$2,$Z16)-$A$1)/7,0)-'1週目'!$P$2+$A$2)</f>
        <v/>
      </c>
      <c r="AJ16" s="140" t="str">
        <f>IF(ROUND((DATE($AA$1,AI$2,$Z17)-$A$1)/7,0)=ROUND((DATE($AA$1,AI$2,$Z16)-$A$1)/7,0),"","P"&amp;ROUND((DATE($AA$1,AI$2,$Z16)-$A$1)/7,0)-'1週目'!$P$2+$A$2)</f>
        <v/>
      </c>
      <c r="AK16" s="179" t="str">
        <f>IF(ROUND((DATE($AA$1,AK$2,$Z15)-$A$1)/7,0)=ROUND((DATE($AA$1,AK$2,$Z16)-$A$1)/7,0),"","P"&amp;ROUND((DATE($AA$1,AK$2,$Z16)-$A$1)/7,0)-'1週目'!$P$2+$A$2)</f>
        <v>P27</v>
      </c>
      <c r="AL16" s="140" t="str">
        <f>IF(ROUND((DATE($AA$1,AK$2,$Z17)-$A$1)/7,0)=ROUND((DATE($AA$1,AK$2,$Z16)-$A$1)/7,0),"","P"&amp;ROUND((DATE($AA$1,AK$2,$Z16)-$A$1)/7,0)-'1週目'!$P$2+$A$2)</f>
        <v/>
      </c>
      <c r="AM16" s="179" t="str">
        <f>IF(ROUND((DATE($AA$1,AM$2,$Z15)-$A$1)/7,0)=ROUND((DATE($AA$1,AM$2,$Z16)-$A$1)/7,0),"","P"&amp;ROUND((DATE($AA$1,AM$2,$Z16)-$A$1)/7,0)-'1週目'!$P$2+$A$2)</f>
        <v/>
      </c>
      <c r="AN16" s="140" t="str">
        <f>IF(ROUND((DATE($AA$1,AM$2,$Z17)-$A$1)/7,0)=ROUND((DATE($AA$1,AM$2,$Z16)-$A$1)/7,0),"","P"&amp;ROUND((DATE($AA$1,AM$2,$Z16)-$A$1)/7,0)-'1週目'!$P$2+$A$2)</f>
        <v/>
      </c>
      <c r="AO16" s="179" t="str">
        <f>IF(ROUND((DATE($AA$1,AO$2,$Z15)-$A$1)/7,0)=ROUND((DATE($AA$1,AO$2,$Z16)-$A$1)/7,0),"","P"&amp;ROUND((DATE($AA$1,AO$2,$Z16)-$A$1)/7,0)-'1週目'!$P$2+$A$2)</f>
        <v/>
      </c>
      <c r="AP16" s="140" t="str">
        <f>IF(ROUND((DATE($AA$1,AO$2,$Z17)-$A$1)/7,0)=ROUND((DATE($AA$1,AO$2,$Z16)-$A$1)/7,0),"","P"&amp;ROUND((DATE($AA$1,AO$2,$Z16)-$A$1)/7,0)-'1週目'!$P$2+$A$2)</f>
        <v/>
      </c>
      <c r="AQ16" s="179" t="str">
        <f>IF(ROUND((DATE($AA$1,AQ$2,$Z15)-$A$1)/7,0)=ROUND((DATE($AA$1,AQ$2,$Z16)-$A$1)/7,0),"","P"&amp;ROUND((DATE($AA$1,AQ$2,$Z16)-$A$1)/7,0)-'1週目'!$P$2+$A$2)</f>
        <v>P40</v>
      </c>
      <c r="AR16" s="140" t="str">
        <f>IF(ROUND((DATE($AA$1,AQ$2,$Z17)-$A$1)/7,0)=ROUND((DATE($AA$1,AQ$2,$Z16)-$A$1)/7,0),"","P"&amp;ROUND((DATE($AA$1,AQ$2,$Z16)-$A$1)/7,0)-'1週目'!$P$2+$A$2)</f>
        <v/>
      </c>
      <c r="AS16" s="179" t="str">
        <f>IF(ROUND((DATE($AA$1+1,AS$2,$Z15)-$A$1)/7,0)=ROUND((DATE($AA$1+1,AS$2,$Z16)-$A$1)/7,0),"","P"&amp;ROUND((DATE($AA$1+1,AS$2,$Z16)-$A$1)/7,0)-'1週目'!$P$2+$A$2)</f>
        <v/>
      </c>
      <c r="AT16" s="140" t="str">
        <f>IF(ROUND((DATE($AA$1+1,AS$2,$Z17)-$A$1)/7,0)=ROUND((DATE($AA$1+1,AS$2,$Z16)-$A$1)/7,0),"","P"&amp;ROUND((DATE($AA$1+1,AS$2,$Z16)-$A$1)/7,0)-'1週目'!$P$2+$A$2)</f>
        <v/>
      </c>
      <c r="AU16" s="179" t="str">
        <f>IF(ROUND((DATE($AA$1+1,AU$2,$Z15)-$A$1)/7,0)=ROUND((DATE($AA$1+1,AU$2,$Z16)-$A$1)/7,0),"","P"&amp;ROUND((DATE($AA$1+1,AU$2,$Z16)-$A$1)/7,0)-'1週目'!$P$2+$A$2)</f>
        <v/>
      </c>
      <c r="AV16" s="140" t="str">
        <f>IF(ROUND((DATE($AA$1+1,AU$2,$Z17)-$A$1)/7,0)=ROUND((DATE($AA$1+1,AU$2,$Z16)-$A$1)/7,0),"","P"&amp;ROUND((DATE($AA$1+1,AU$2,$Z16)-$A$1)/7,0)-'1週目'!$P$2+$A$2)</f>
        <v>P48</v>
      </c>
      <c r="AW16" s="179" t="str">
        <f>IF(ROUND((DATE($AA$1+1,AW$2,$Z15)-$A$1)/7,0)=ROUND((DATE($AA$1+1,AW$2,$Z16)-$A$1)/7,0),"","P"&amp;ROUND((DATE($AA$1+1,AW$2,$Z16)-$A$1)/7,0)-'1週目'!$P$2+$A$2)</f>
        <v/>
      </c>
      <c r="AX16" s="146" t="str">
        <f>IF(ROUND((DATE($AA$1+1,AW$2,$Z17)-$A$1)/7,0)=ROUND((DATE($AA$1+1,AW$2,$Z16)-$A$1)/7,0),"","P"&amp;ROUND((DATE($AA$1+1,AW$2,$Z16)-$A$1)/7,0)-'1週目'!$P$2+$A$2)</f>
        <v>P52</v>
      </c>
    </row>
    <row r="17" spans="2:50" s="128" customFormat="1" ht="39" customHeight="1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Z17" s="128">
        <v>15</v>
      </c>
      <c r="AA17" s="177" t="str">
        <f>IF(ROUND((DATE($AA$1,AA$2,$Z16)-$A$1)/7,0)=ROUND((DATE($AA$1,AA$2,$Z17)-$A$1)/7,0),"","P"&amp;ROUND((DATE($AA$1,AA$2,$Z17)-$A$1)/7,0)-'1週目'!$P$2+$A$2)</f>
        <v/>
      </c>
      <c r="AB17" s="140" t="str">
        <f>IF(ROUND((DATE($AA$1,AA$2,$Z18)-$A$1)/7,0)=ROUND((DATE($AA$1,AA$2,$Z17)-$A$1)/7,0),"","P"&amp;ROUND((DATE($AA$1,AA$2,$Z17)-$A$1)/7,0)-'1週目'!$P$2+$A$2)</f>
        <v/>
      </c>
      <c r="AC17" s="179" t="str">
        <f>IF(ROUND((DATE($AA$1,AC$2,$Z16)-$A$1)/7,0)=ROUND((DATE($AA$1,AC$2,$Z17)-$A$1)/7,0),"","P"&amp;ROUND((DATE($AA$1,AC$2,$Z17)-$A$1)/7,0)-'1週目'!$P$2+$A$2)</f>
        <v/>
      </c>
      <c r="AD17" s="140" t="str">
        <f>IF(ROUND((DATE($AA$1,AC$2,$Z18)-$A$1)/7,0)=ROUND((DATE($AA$1,AC$2,$Z17)-$A$1)/7,0),"","P"&amp;ROUND((DATE($AA$1,AC$2,$Z17)-$A$1)/7,0)-'1週目'!$P$2+$A$2)</f>
        <v/>
      </c>
      <c r="AE17" s="179" t="str">
        <f>IF(ROUND((DATE($AA$1,AE$2,$Z16)-$A$1)/7,0)=ROUND((DATE($AA$1,AE$2,$Z17)-$A$1)/7,0),"","P"&amp;ROUND((DATE($AA$1,AE$2,$Z17)-$A$1)/7,0)-'1週目'!$P$2+$A$2)</f>
        <v>P14</v>
      </c>
      <c r="AF17" s="140" t="str">
        <f>IF(ROUND((DATE($AA$1,AE$2,$Z18)-$A$1)/7,0)=ROUND((DATE($AA$1,AE$2,$Z17)-$A$1)/7,0),"","P"&amp;ROUND((DATE($AA$1,AE$2,$Z17)-$A$1)/7,0)-'1週目'!$P$2+$A$2)</f>
        <v/>
      </c>
      <c r="AG17" s="179" t="str">
        <f>IF(ROUND((DATE($AA$1,AG$2,$Z16)-$A$1)/7,0)=ROUND((DATE($AA$1,AG$2,$Z17)-$A$1)/7,0),"","P"&amp;ROUND((DATE($AA$1,AG$2,$Z17)-$A$1)/7,0)-'1週目'!$P$2+$A$2)</f>
        <v/>
      </c>
      <c r="AH17" s="140" t="str">
        <f>IF(ROUND((DATE($AA$1,AG$2,$Z18)-$A$1)/7,0)=ROUND((DATE($AA$1,AG$2,$Z17)-$A$1)/7,0),"","P"&amp;ROUND((DATE($AA$1,AG$2,$Z17)-$A$1)/7,0)-'1週目'!$P$2+$A$2)</f>
        <v/>
      </c>
      <c r="AI17" s="179" t="str">
        <f>IF(ROUND((DATE($AA$1,AI$2,$Z16)-$A$1)/7,0)=ROUND((DATE($AA$1,AI$2,$Z17)-$A$1)/7,0),"","P"&amp;ROUND((DATE($AA$1,AI$2,$Z17)-$A$1)/7,0)-'1週目'!$P$2+$A$2)</f>
        <v/>
      </c>
      <c r="AJ17" s="140" t="str">
        <f>IF(ROUND((DATE($AA$1,AI$2,$Z18)-$A$1)/7,0)=ROUND((DATE($AA$1,AI$2,$Z17)-$A$1)/7,0),"","P"&amp;ROUND((DATE($AA$1,AI$2,$Z17)-$A$1)/7,0)-'1週目'!$P$2+$A$2)</f>
        <v/>
      </c>
      <c r="AK17" s="179" t="str">
        <f>IF(ROUND((DATE($AA$1,AK$2,$Z16)-$A$1)/7,0)=ROUND((DATE($AA$1,AK$2,$Z17)-$A$1)/7,0),"","P"&amp;ROUND((DATE($AA$1,AK$2,$Z17)-$A$1)/7,0)-'1週目'!$P$2+$A$2)</f>
        <v/>
      </c>
      <c r="AL17" s="140" t="str">
        <f>IF(ROUND((DATE($AA$1,AK$2,$Z18)-$A$1)/7,0)=ROUND((DATE($AA$1,AK$2,$Z17)-$A$1)/7,0),"","P"&amp;ROUND((DATE($AA$1,AK$2,$Z17)-$A$1)/7,0)-'1週目'!$P$2+$A$2)</f>
        <v/>
      </c>
      <c r="AM17" s="179" t="str">
        <f>IF(ROUND((DATE($AA$1,AM$2,$Z16)-$A$1)/7,0)=ROUND((DATE($AA$1,AM$2,$Z17)-$A$1)/7,0),"","P"&amp;ROUND((DATE($AA$1,AM$2,$Z17)-$A$1)/7,0)-'1週目'!$P$2+$A$2)</f>
        <v/>
      </c>
      <c r="AN17" s="140" t="str">
        <f>IF(ROUND((DATE($AA$1,AM$2,$Z18)-$A$1)/7,0)=ROUND((DATE($AA$1,AM$2,$Z17)-$A$1)/7,0),"","P"&amp;ROUND((DATE($AA$1,AM$2,$Z17)-$A$1)/7,0)-'1週目'!$P$2+$A$2)</f>
        <v/>
      </c>
      <c r="AO17" s="179" t="str">
        <f>IF(ROUND((DATE($AA$1,AO$2,$Z16)-$A$1)/7,0)=ROUND((DATE($AA$1,AO$2,$Z17)-$A$1)/7,0),"","P"&amp;ROUND((DATE($AA$1,AO$2,$Z17)-$A$1)/7,0)-'1週目'!$P$2+$A$2)</f>
        <v/>
      </c>
      <c r="AP17" s="140" t="str">
        <f>IF(ROUND((DATE($AA$1,AO$2,$Z18)-$A$1)/7,0)=ROUND((DATE($AA$1,AO$2,$Z17)-$A$1)/7,0),"","P"&amp;ROUND((DATE($AA$1,AO$2,$Z17)-$A$1)/7,0)-'1週目'!$P$2+$A$2)</f>
        <v>P35</v>
      </c>
      <c r="AQ17" s="179" t="str">
        <f>IF(ROUND((DATE($AA$1,AQ$2,$Z16)-$A$1)/7,0)=ROUND((DATE($AA$1,AQ$2,$Z17)-$A$1)/7,0),"","P"&amp;ROUND((DATE($AA$1,AQ$2,$Z17)-$A$1)/7,0)-'1週目'!$P$2+$A$2)</f>
        <v/>
      </c>
      <c r="AR17" s="140" t="str">
        <f>IF(ROUND((DATE($AA$1,AQ$2,$Z18)-$A$1)/7,0)=ROUND((DATE($AA$1,AQ$2,$Z17)-$A$1)/7,0),"","P"&amp;ROUND((DATE($AA$1,AQ$2,$Z17)-$A$1)/7,0)-'1週目'!$P$2+$A$2)</f>
        <v/>
      </c>
      <c r="AS17" s="179" t="str">
        <f>IF(ROUND((DATE($AA$1+1,AS$2,$Z16)-$A$1)/7,0)=ROUND((DATE($AA$1+1,AS$2,$Z17)-$A$1)/7,0),"","P"&amp;ROUND((DATE($AA$1+1,AS$2,$Z17)-$A$1)/7,0)-'1週目'!$P$2+$A$2)</f>
        <v/>
      </c>
      <c r="AT17" s="140" t="str">
        <f>IF(ROUND((DATE($AA$1+1,AS$2,$Z18)-$A$1)/7,0)=ROUND((DATE($AA$1+1,AS$2,$Z17)-$A$1)/7,0),"","P"&amp;ROUND((DATE($AA$1+1,AS$2,$Z17)-$A$1)/7,0)-'1週目'!$P$2+$A$2)</f>
        <v/>
      </c>
      <c r="AU17" s="179" t="str">
        <f>IF(ROUND((DATE($AA$1+1,AU$2,$Z16)-$A$1)/7,0)=ROUND((DATE($AA$1+1,AU$2,$Z17)-$A$1)/7,0),"","P"&amp;ROUND((DATE($AA$1+1,AU$2,$Z17)-$A$1)/7,0)-'1週目'!$P$2+$A$2)</f>
        <v>P49</v>
      </c>
      <c r="AV17" s="140" t="str">
        <f>IF(ROUND((DATE($AA$1+1,AU$2,$Z18)-$A$1)/7,0)=ROUND((DATE($AA$1+1,AU$2,$Z17)-$A$1)/7,0),"","P"&amp;ROUND((DATE($AA$1+1,AU$2,$Z17)-$A$1)/7,0)-'1週目'!$P$2+$A$2)</f>
        <v/>
      </c>
      <c r="AW17" s="179" t="str">
        <f>IF(ROUND((DATE($AA$1+1,AW$2,$Z16)-$A$1)/7,0)=ROUND((DATE($AA$1+1,AW$2,$Z17)-$A$1)/7,0),"","P"&amp;ROUND((DATE($AA$1+1,AW$2,$Z17)-$A$1)/7,0)-'1週目'!$P$2+$A$2)</f>
        <v>P53</v>
      </c>
      <c r="AX17" s="146" t="str">
        <f>IF(ROUND((DATE($AA$1+1,AW$2,$Z18)-$A$1)/7,0)=ROUND((DATE($AA$1+1,AW$2,$Z17)-$A$1)/7,0),"","P"&amp;ROUND((DATE($AA$1+1,AW$2,$Z17)-$A$1)/7,0)-'1週目'!$P$2+$A$2)</f>
        <v/>
      </c>
    </row>
    <row r="18" spans="2:50" s="128" customFormat="1" ht="39" customHeight="1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Z18" s="128">
        <v>16</v>
      </c>
      <c r="AA18" s="177" t="str">
        <f>IF(ROUND((DATE($AA$1,AA$2,$Z17)-$A$1)/7,0)=ROUND((DATE($AA$1,AA$2,$Z18)-$A$1)/7,0),"","P"&amp;ROUND((DATE($AA$1,AA$2,$Z18)-$A$1)/7,0)-'1週目'!$P$2+$A$2)</f>
        <v/>
      </c>
      <c r="AB18" s="140" t="str">
        <f>IF(ROUND((DATE($AA$1,AA$2,$Z19)-$A$1)/7,0)=ROUND((DATE($AA$1,AA$2,$Z18)-$A$1)/7,0),"","P"&amp;ROUND((DATE($AA$1,AA$2,$Z18)-$A$1)/7,0)-'1週目'!$P$2+$A$2)</f>
        <v/>
      </c>
      <c r="AC18" s="179" t="str">
        <f>IF(ROUND((DATE($AA$1,AC$2,$Z17)-$A$1)/7,0)=ROUND((DATE($AA$1,AC$2,$Z18)-$A$1)/7,0),"","P"&amp;ROUND((DATE($AA$1,AC$2,$Z18)-$A$1)/7,0)-'1週目'!$P$2+$A$2)</f>
        <v/>
      </c>
      <c r="AD18" s="140" t="str">
        <f>IF(ROUND((DATE($AA$1,AC$2,$Z19)-$A$1)/7,0)=ROUND((DATE($AA$1,AC$2,$Z18)-$A$1)/7,0),"","P"&amp;ROUND((DATE($AA$1,AC$2,$Z18)-$A$1)/7,0)-'1週目'!$P$2+$A$2)</f>
        <v/>
      </c>
      <c r="AE18" s="179" t="str">
        <f>IF(ROUND((DATE($AA$1,AE$2,$Z17)-$A$1)/7,0)=ROUND((DATE($AA$1,AE$2,$Z18)-$A$1)/7,0),"","P"&amp;ROUND((DATE($AA$1,AE$2,$Z18)-$A$1)/7,0)-'1週目'!$P$2+$A$2)</f>
        <v/>
      </c>
      <c r="AF18" s="140" t="str">
        <f>IF(ROUND((DATE($AA$1,AE$2,$Z19)-$A$1)/7,0)=ROUND((DATE($AA$1,AE$2,$Z18)-$A$1)/7,0),"","P"&amp;ROUND((DATE($AA$1,AE$2,$Z18)-$A$1)/7,0)-'1週目'!$P$2+$A$2)</f>
        <v/>
      </c>
      <c r="AG18" s="179" t="str">
        <f>IF(ROUND((DATE($AA$1,AG$2,$Z17)-$A$1)/7,0)=ROUND((DATE($AA$1,AG$2,$Z18)-$A$1)/7,0),"","P"&amp;ROUND((DATE($AA$1,AG$2,$Z18)-$A$1)/7,0)-'1週目'!$P$2+$A$2)</f>
        <v/>
      </c>
      <c r="AH18" s="140" t="str">
        <f>IF(ROUND((DATE($AA$1,AG$2,$Z19)-$A$1)/7,0)=ROUND((DATE($AA$1,AG$2,$Z18)-$A$1)/7,0),"","P"&amp;ROUND((DATE($AA$1,AG$2,$Z18)-$A$1)/7,0)-'1週目'!$P$2+$A$2)</f>
        <v/>
      </c>
      <c r="AI18" s="179" t="str">
        <f>IF(ROUND((DATE($AA$1,AI$2,$Z17)-$A$1)/7,0)=ROUND((DATE($AA$1,AI$2,$Z18)-$A$1)/7,0),"","P"&amp;ROUND((DATE($AA$1,AI$2,$Z18)-$A$1)/7,0)-'1週目'!$P$2+$A$2)</f>
        <v/>
      </c>
      <c r="AJ18" s="140" t="str">
        <f>IF(ROUND((DATE($AA$1,AI$2,$Z19)-$A$1)/7,0)=ROUND((DATE($AA$1,AI$2,$Z18)-$A$1)/7,0),"","P"&amp;ROUND((DATE($AA$1,AI$2,$Z18)-$A$1)/7,0)-'1週目'!$P$2+$A$2)</f>
        <v>P22</v>
      </c>
      <c r="AK18" s="179" t="str">
        <f>IF(ROUND((DATE($AA$1,AK$2,$Z17)-$A$1)/7,0)=ROUND((DATE($AA$1,AK$2,$Z18)-$A$1)/7,0),"","P"&amp;ROUND((DATE($AA$1,AK$2,$Z18)-$A$1)/7,0)-'1週目'!$P$2+$A$2)</f>
        <v/>
      </c>
      <c r="AL18" s="140" t="str">
        <f>IF(ROUND((DATE($AA$1,AK$2,$Z19)-$A$1)/7,0)=ROUND((DATE($AA$1,AK$2,$Z18)-$A$1)/7,0),"","P"&amp;ROUND((DATE($AA$1,AK$2,$Z18)-$A$1)/7,0)-'1週目'!$P$2+$A$2)</f>
        <v/>
      </c>
      <c r="AM18" s="179" t="str">
        <f>IF(ROUND((DATE($AA$1,AM$2,$Z17)-$A$1)/7,0)=ROUND((DATE($AA$1,AM$2,$Z18)-$A$1)/7,0),"","P"&amp;ROUND((DATE($AA$1,AM$2,$Z18)-$A$1)/7,0)-'1週目'!$P$2+$A$2)</f>
        <v/>
      </c>
      <c r="AN18" s="140" t="str">
        <f>IF(ROUND((DATE($AA$1,AM$2,$Z19)-$A$1)/7,0)=ROUND((DATE($AA$1,AM$2,$Z18)-$A$1)/7,0),"","P"&amp;ROUND((DATE($AA$1,AM$2,$Z18)-$A$1)/7,0)-'1週目'!$P$2+$A$2)</f>
        <v/>
      </c>
      <c r="AO18" s="179" t="str">
        <f>IF(ROUND((DATE($AA$1,AO$2,$Z17)-$A$1)/7,0)=ROUND((DATE($AA$1,AO$2,$Z18)-$A$1)/7,0),"","P"&amp;ROUND((DATE($AA$1,AO$2,$Z18)-$A$1)/7,0)-'1週目'!$P$2+$A$2)</f>
        <v>P36</v>
      </c>
      <c r="AP18" s="140" t="str">
        <f>IF(ROUND((DATE($AA$1,AO$2,$Z19)-$A$1)/7,0)=ROUND((DATE($AA$1,AO$2,$Z18)-$A$1)/7,0),"","P"&amp;ROUND((DATE($AA$1,AO$2,$Z18)-$A$1)/7,0)-'1週目'!$P$2+$A$2)</f>
        <v/>
      </c>
      <c r="AQ18" s="179" t="str">
        <f>IF(ROUND((DATE($AA$1,AQ$2,$Z17)-$A$1)/7,0)=ROUND((DATE($AA$1,AQ$2,$Z18)-$A$1)/7,0),"","P"&amp;ROUND((DATE($AA$1,AQ$2,$Z18)-$A$1)/7,0)-'1週目'!$P$2+$A$2)</f>
        <v/>
      </c>
      <c r="AR18" s="140" t="str">
        <f>IF(ROUND((DATE($AA$1,AQ$2,$Z19)-$A$1)/7,0)=ROUND((DATE($AA$1,AQ$2,$Z18)-$A$1)/7,0),"","P"&amp;ROUND((DATE($AA$1,AQ$2,$Z18)-$A$1)/7,0)-'1週目'!$P$2+$A$2)</f>
        <v/>
      </c>
      <c r="AS18" s="179" t="str">
        <f>IF(ROUND((DATE($AA$1+1,AS$2,$Z17)-$A$1)/7,0)=ROUND((DATE($AA$1+1,AS$2,$Z18)-$A$1)/7,0),"","P"&amp;ROUND((DATE($AA$1+1,AS$2,$Z18)-$A$1)/7,0)-'1週目'!$P$2+$A$2)</f>
        <v/>
      </c>
      <c r="AT18" s="140" t="str">
        <f>IF(ROUND((DATE($AA$1+1,AS$2,$Z19)-$A$1)/7,0)=ROUND((DATE($AA$1+1,AS$2,$Z18)-$A$1)/7,0),"","P"&amp;ROUND((DATE($AA$1+1,AS$2,$Z18)-$A$1)/7,0)-'1週目'!$P$2+$A$2)</f>
        <v/>
      </c>
      <c r="AU18" s="179" t="str">
        <f>IF(ROUND((DATE($AA$1+1,AU$2,$Z17)-$A$1)/7,0)=ROUND((DATE($AA$1+1,AU$2,$Z18)-$A$1)/7,0),"","P"&amp;ROUND((DATE($AA$1+1,AU$2,$Z18)-$A$1)/7,0)-'1週目'!$P$2+$A$2)</f>
        <v/>
      </c>
      <c r="AV18" s="140" t="str">
        <f>IF(ROUND((DATE($AA$1+1,AU$2,$Z19)-$A$1)/7,0)=ROUND((DATE($AA$1+1,AU$2,$Z18)-$A$1)/7,0),"","P"&amp;ROUND((DATE($AA$1+1,AU$2,$Z18)-$A$1)/7,0)-'1週目'!$P$2+$A$2)</f>
        <v/>
      </c>
      <c r="AW18" s="179" t="str">
        <f>IF(ROUND((DATE($AA$1+1,AW$2,$Z17)-$A$1)/7,0)=ROUND((DATE($AA$1+1,AW$2,$Z18)-$A$1)/7,0),"","P"&amp;ROUND((DATE($AA$1+1,AW$2,$Z18)-$A$1)/7,0)-'1週目'!$P$2+$A$2)</f>
        <v/>
      </c>
      <c r="AX18" s="146" t="str">
        <f>IF(ROUND((DATE($AA$1+1,AW$2,$Z19)-$A$1)/7,0)=ROUND((DATE($AA$1+1,AW$2,$Z18)-$A$1)/7,0),"","P"&amp;ROUND((DATE($AA$1+1,AW$2,$Z18)-$A$1)/7,0)-'1週目'!$P$2+$A$2)</f>
        <v/>
      </c>
    </row>
    <row r="19" spans="2:50" s="128" customFormat="1" ht="39" customHeight="1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Z19" s="128">
        <v>17</v>
      </c>
      <c r="AA19" s="177" t="str">
        <f>IF(ROUND((DATE($AA$1,AA$2,$Z18)-$A$1)/7,0)=ROUND((DATE($AA$1,AA$2,$Z19)-$A$1)/7,0),"","P"&amp;ROUND((DATE($AA$1,AA$2,$Z19)-$A$1)/7,0)-'1週目'!$P$2+$A$2)</f>
        <v/>
      </c>
      <c r="AB19" s="140" t="str">
        <f>IF(ROUND((DATE($AA$1,AA$2,$Z20)-$A$1)/7,0)=ROUND((DATE($AA$1,AA$2,$Z19)-$A$1)/7,0),"","P"&amp;ROUND((DATE($AA$1,AA$2,$Z19)-$A$1)/7,0)-'1週目'!$P$2+$A$2)</f>
        <v/>
      </c>
      <c r="AC19" s="179" t="str">
        <f>IF(ROUND((DATE($AA$1,AC$2,$Z18)-$A$1)/7,0)=ROUND((DATE($AA$1,AC$2,$Z19)-$A$1)/7,0),"","P"&amp;ROUND((DATE($AA$1,AC$2,$Z19)-$A$1)/7,0)-'1週目'!$P$2+$A$2)</f>
        <v/>
      </c>
      <c r="AD19" s="140" t="str">
        <f>IF(ROUND((DATE($AA$1,AC$2,$Z20)-$A$1)/7,0)=ROUND((DATE($AA$1,AC$2,$Z19)-$A$1)/7,0),"","P"&amp;ROUND((DATE($AA$1,AC$2,$Z19)-$A$1)/7,0)-'1週目'!$P$2+$A$2)</f>
        <v>P9</v>
      </c>
      <c r="AE19" s="179" t="str">
        <f>IF(ROUND((DATE($AA$1,AE$2,$Z18)-$A$1)/7,0)=ROUND((DATE($AA$1,AE$2,$Z19)-$A$1)/7,0),"","P"&amp;ROUND((DATE($AA$1,AE$2,$Z19)-$A$1)/7,0)-'1週目'!$P$2+$A$2)</f>
        <v/>
      </c>
      <c r="AF19" s="140" t="str">
        <f>IF(ROUND((DATE($AA$1,AE$2,$Z20)-$A$1)/7,0)=ROUND((DATE($AA$1,AE$2,$Z19)-$A$1)/7,0),"","P"&amp;ROUND((DATE($AA$1,AE$2,$Z19)-$A$1)/7,0)-'1週目'!$P$2+$A$2)</f>
        <v/>
      </c>
      <c r="AG19" s="179" t="str">
        <f>IF(ROUND((DATE($AA$1,AG$2,$Z18)-$A$1)/7,0)=ROUND((DATE($AA$1,AG$2,$Z19)-$A$1)/7,0),"","P"&amp;ROUND((DATE($AA$1,AG$2,$Z19)-$A$1)/7,0)-'1週目'!$P$2+$A$2)</f>
        <v/>
      </c>
      <c r="AH19" s="140" t="str">
        <f>IF(ROUND((DATE($AA$1,AG$2,$Z20)-$A$1)/7,0)=ROUND((DATE($AA$1,AG$2,$Z19)-$A$1)/7,0),"","P"&amp;ROUND((DATE($AA$1,AG$2,$Z19)-$A$1)/7,0)-'1週目'!$P$2+$A$2)</f>
        <v/>
      </c>
      <c r="AI19" s="179" t="str">
        <f>IF(ROUND((DATE($AA$1,AI$2,$Z18)-$A$1)/7,0)=ROUND((DATE($AA$1,AI$2,$Z19)-$A$1)/7,0),"","P"&amp;ROUND((DATE($AA$1,AI$2,$Z19)-$A$1)/7,0)-'1週目'!$P$2+$A$2)</f>
        <v>P23</v>
      </c>
      <c r="AJ19" s="140" t="str">
        <f>IF(ROUND((DATE($AA$1,AI$2,$Z20)-$A$1)/7,0)=ROUND((DATE($AA$1,AI$2,$Z19)-$A$1)/7,0),"","P"&amp;ROUND((DATE($AA$1,AI$2,$Z19)-$A$1)/7,0)-'1週目'!$P$2+$A$2)</f>
        <v/>
      </c>
      <c r="AK19" s="179" t="str">
        <f>IF(ROUND((DATE($AA$1,AK$2,$Z18)-$A$1)/7,0)=ROUND((DATE($AA$1,AK$2,$Z19)-$A$1)/7,0),"","P"&amp;ROUND((DATE($AA$1,AK$2,$Z19)-$A$1)/7,0)-'1週目'!$P$2+$A$2)</f>
        <v/>
      </c>
      <c r="AL19" s="140" t="str">
        <f>IF(ROUND((DATE($AA$1,AK$2,$Z20)-$A$1)/7,0)=ROUND((DATE($AA$1,AK$2,$Z19)-$A$1)/7,0),"","P"&amp;ROUND((DATE($AA$1,AK$2,$Z19)-$A$1)/7,0)-'1週目'!$P$2+$A$2)</f>
        <v/>
      </c>
      <c r="AM19" s="179" t="str">
        <f>IF(ROUND((DATE($AA$1,AM$2,$Z18)-$A$1)/7,0)=ROUND((DATE($AA$1,AM$2,$Z19)-$A$1)/7,0),"","P"&amp;ROUND((DATE($AA$1,AM$2,$Z19)-$A$1)/7,0)-'1週目'!$P$2+$A$2)</f>
        <v/>
      </c>
      <c r="AN19" s="140" t="str">
        <f>IF(ROUND((DATE($AA$1,AM$2,$Z20)-$A$1)/7,0)=ROUND((DATE($AA$1,AM$2,$Z19)-$A$1)/7,0),"","P"&amp;ROUND((DATE($AA$1,AM$2,$Z19)-$A$1)/7,0)-'1週目'!$P$2+$A$2)</f>
        <v/>
      </c>
      <c r="AO19" s="179" t="str">
        <f>IF(ROUND((DATE($AA$1,AO$2,$Z18)-$A$1)/7,0)=ROUND((DATE($AA$1,AO$2,$Z19)-$A$1)/7,0),"","P"&amp;ROUND((DATE($AA$1,AO$2,$Z19)-$A$1)/7,0)-'1週目'!$P$2+$A$2)</f>
        <v/>
      </c>
      <c r="AP19" s="140" t="str">
        <f>IF(ROUND((DATE($AA$1,AO$2,$Z20)-$A$1)/7,0)=ROUND((DATE($AA$1,AO$2,$Z19)-$A$1)/7,0),"","P"&amp;ROUND((DATE($AA$1,AO$2,$Z19)-$A$1)/7,0)-'1週目'!$P$2+$A$2)</f>
        <v/>
      </c>
      <c r="AQ19" s="179" t="str">
        <f>IF(ROUND((DATE($AA$1,AQ$2,$Z18)-$A$1)/7,0)=ROUND((DATE($AA$1,AQ$2,$Z19)-$A$1)/7,0),"","P"&amp;ROUND((DATE($AA$1,AQ$2,$Z19)-$A$1)/7,0)-'1週目'!$P$2+$A$2)</f>
        <v/>
      </c>
      <c r="AR19" s="140" t="str">
        <f>IF(ROUND((DATE($AA$1,AQ$2,$Z20)-$A$1)/7,0)=ROUND((DATE($AA$1,AQ$2,$Z19)-$A$1)/7,0),"","P"&amp;ROUND((DATE($AA$1,AQ$2,$Z19)-$A$1)/7,0)-'1週目'!$P$2+$A$2)</f>
        <v/>
      </c>
      <c r="AS19" s="179" t="str">
        <f>IF(ROUND((DATE($AA$1+1,AS$2,$Z18)-$A$1)/7,0)=ROUND((DATE($AA$1+1,AS$2,$Z19)-$A$1)/7,0),"","P"&amp;ROUND((DATE($AA$1+1,AS$2,$Z19)-$A$1)/7,0)-'1週目'!$P$2+$A$2)</f>
        <v/>
      </c>
      <c r="AT19" s="140" t="str">
        <f>IF(ROUND((DATE($AA$1+1,AS$2,$Z20)-$A$1)/7,0)=ROUND((DATE($AA$1+1,AS$2,$Z19)-$A$1)/7,0),"","P"&amp;ROUND((DATE($AA$1+1,AS$2,$Z19)-$A$1)/7,0)-'1週目'!$P$2+$A$2)</f>
        <v>P44</v>
      </c>
      <c r="AU19" s="179" t="str">
        <f>IF(ROUND((DATE($AA$1+1,AU$2,$Z18)-$A$1)/7,0)=ROUND((DATE($AA$1+1,AU$2,$Z19)-$A$1)/7,0),"","P"&amp;ROUND((DATE($AA$1+1,AU$2,$Z19)-$A$1)/7,0)-'1週目'!$P$2+$A$2)</f>
        <v/>
      </c>
      <c r="AV19" s="140" t="str">
        <f>IF(ROUND((DATE($AA$1+1,AU$2,$Z20)-$A$1)/7,0)=ROUND((DATE($AA$1+1,AU$2,$Z19)-$A$1)/7,0),"","P"&amp;ROUND((DATE($AA$1+1,AU$2,$Z19)-$A$1)/7,0)-'1週目'!$P$2+$A$2)</f>
        <v/>
      </c>
      <c r="AW19" s="179" t="str">
        <f>IF(ROUND((DATE($AA$1+1,AW$2,$Z18)-$A$1)/7,0)=ROUND((DATE($AA$1+1,AW$2,$Z19)-$A$1)/7,0),"","P"&amp;ROUND((DATE($AA$1+1,AW$2,$Z19)-$A$1)/7,0)-'1週目'!$P$2+$A$2)</f>
        <v/>
      </c>
      <c r="AX19" s="146" t="str">
        <f>IF(ROUND((DATE($AA$1+1,AW$2,$Z20)-$A$1)/7,0)=ROUND((DATE($AA$1+1,AW$2,$Z19)-$A$1)/7,0),"","P"&amp;ROUND((DATE($AA$1+1,AW$2,$Z19)-$A$1)/7,0)-'1週目'!$P$2+$A$2)</f>
        <v/>
      </c>
    </row>
    <row r="20" spans="2:50" s="128" customFormat="1" ht="39" customHeight="1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Z20" s="128">
        <v>18</v>
      </c>
      <c r="AA20" s="177" t="str">
        <f>IF(ROUND((DATE($AA$1,AA$2,$Z19)-$A$1)/7,0)=ROUND((DATE($AA$1,AA$2,$Z20)-$A$1)/7,0),"","P"&amp;ROUND((DATE($AA$1,AA$2,$Z20)-$A$1)/7,0)-'1週目'!$P$2+$A$2)</f>
        <v/>
      </c>
      <c r="AB20" s="140" t="str">
        <f>IF(ROUND((DATE($AA$1,AA$2,$Z21)-$A$1)/7,0)=ROUND((DATE($AA$1,AA$2,$Z20)-$A$1)/7,0),"","P"&amp;ROUND((DATE($AA$1,AA$2,$Z20)-$A$1)/7,0)-'1週目'!$P$2+$A$2)</f>
        <v/>
      </c>
      <c r="AC20" s="179" t="str">
        <f>IF(ROUND((DATE($AA$1,AC$2,$Z19)-$A$1)/7,0)=ROUND((DATE($AA$1,AC$2,$Z20)-$A$1)/7,0),"","P"&amp;ROUND((DATE($AA$1,AC$2,$Z20)-$A$1)/7,0)-'1週目'!$P$2+$A$2)</f>
        <v>P10</v>
      </c>
      <c r="AD20" s="140" t="str">
        <f>IF(ROUND((DATE($AA$1,AC$2,$Z21)-$A$1)/7,0)=ROUND((DATE($AA$1,AC$2,$Z20)-$A$1)/7,0),"","P"&amp;ROUND((DATE($AA$1,AC$2,$Z20)-$A$1)/7,0)-'1週目'!$P$2+$A$2)</f>
        <v/>
      </c>
      <c r="AE20" s="179" t="str">
        <f>IF(ROUND((DATE($AA$1,AE$2,$Z19)-$A$1)/7,0)=ROUND((DATE($AA$1,AE$2,$Z20)-$A$1)/7,0),"","P"&amp;ROUND((DATE($AA$1,AE$2,$Z20)-$A$1)/7,0)-'1週目'!$P$2+$A$2)</f>
        <v/>
      </c>
      <c r="AF20" s="140" t="str">
        <f>IF(ROUND((DATE($AA$1,AE$2,$Z21)-$A$1)/7,0)=ROUND((DATE($AA$1,AE$2,$Z20)-$A$1)/7,0),"","P"&amp;ROUND((DATE($AA$1,AE$2,$Z20)-$A$1)/7,0)-'1週目'!$P$2+$A$2)</f>
        <v/>
      </c>
      <c r="AG20" s="179" t="str">
        <f>IF(ROUND((DATE($AA$1,AG$2,$Z19)-$A$1)/7,0)=ROUND((DATE($AA$1,AG$2,$Z20)-$A$1)/7,0),"","P"&amp;ROUND((DATE($AA$1,AG$2,$Z20)-$A$1)/7,0)-'1週目'!$P$2+$A$2)</f>
        <v/>
      </c>
      <c r="AH20" s="140" t="str">
        <f>IF(ROUND((DATE($AA$1,AG$2,$Z21)-$A$1)/7,0)=ROUND((DATE($AA$1,AG$2,$Z20)-$A$1)/7,0),"","P"&amp;ROUND((DATE($AA$1,AG$2,$Z20)-$A$1)/7,0)-'1週目'!$P$2+$A$2)</f>
        <v/>
      </c>
      <c r="AI20" s="179" t="str">
        <f>IF(ROUND((DATE($AA$1,AI$2,$Z19)-$A$1)/7,0)=ROUND((DATE($AA$1,AI$2,$Z20)-$A$1)/7,0),"","P"&amp;ROUND((DATE($AA$1,AI$2,$Z20)-$A$1)/7,0)-'1週目'!$P$2+$A$2)</f>
        <v/>
      </c>
      <c r="AJ20" s="140" t="str">
        <f>IF(ROUND((DATE($AA$1,AI$2,$Z21)-$A$1)/7,0)=ROUND((DATE($AA$1,AI$2,$Z20)-$A$1)/7,0),"","P"&amp;ROUND((DATE($AA$1,AI$2,$Z20)-$A$1)/7,0)-'1週目'!$P$2+$A$2)</f>
        <v/>
      </c>
      <c r="AK20" s="179" t="str">
        <f>IF(ROUND((DATE($AA$1,AK$2,$Z19)-$A$1)/7,0)=ROUND((DATE($AA$1,AK$2,$Z20)-$A$1)/7,0),"","P"&amp;ROUND((DATE($AA$1,AK$2,$Z20)-$A$1)/7,0)-'1週目'!$P$2+$A$2)</f>
        <v/>
      </c>
      <c r="AL20" s="140" t="str">
        <f>IF(ROUND((DATE($AA$1,AK$2,$Z21)-$A$1)/7,0)=ROUND((DATE($AA$1,AK$2,$Z20)-$A$1)/7,0),"","P"&amp;ROUND((DATE($AA$1,AK$2,$Z20)-$A$1)/7,0)-'1週目'!$P$2+$A$2)</f>
        <v/>
      </c>
      <c r="AM20" s="179" t="str">
        <f>IF(ROUND((DATE($AA$1,AM$2,$Z19)-$A$1)/7,0)=ROUND((DATE($AA$1,AM$2,$Z20)-$A$1)/7,0),"","P"&amp;ROUND((DATE($AA$1,AM$2,$Z20)-$A$1)/7,0)-'1週目'!$P$2+$A$2)</f>
        <v/>
      </c>
      <c r="AN20" s="140" t="str">
        <f>IF(ROUND((DATE($AA$1,AM$2,$Z21)-$A$1)/7,0)=ROUND((DATE($AA$1,AM$2,$Z20)-$A$1)/7,0),"","P"&amp;ROUND((DATE($AA$1,AM$2,$Z20)-$A$1)/7,0)-'1週目'!$P$2+$A$2)</f>
        <v>P31</v>
      </c>
      <c r="AO20" s="179" t="str">
        <f>IF(ROUND((DATE($AA$1,AO$2,$Z19)-$A$1)/7,0)=ROUND((DATE($AA$1,AO$2,$Z20)-$A$1)/7,0),"","P"&amp;ROUND((DATE($AA$1,AO$2,$Z20)-$A$1)/7,0)-'1週目'!$P$2+$A$2)</f>
        <v/>
      </c>
      <c r="AP20" s="140" t="str">
        <f>IF(ROUND((DATE($AA$1,AO$2,$Z21)-$A$1)/7,0)=ROUND((DATE($AA$1,AO$2,$Z20)-$A$1)/7,0),"","P"&amp;ROUND((DATE($AA$1,AO$2,$Z20)-$A$1)/7,0)-'1週目'!$P$2+$A$2)</f>
        <v/>
      </c>
      <c r="AQ20" s="179" t="str">
        <f>IF(ROUND((DATE($AA$1,AQ$2,$Z19)-$A$1)/7,0)=ROUND((DATE($AA$1,AQ$2,$Z20)-$A$1)/7,0),"","P"&amp;ROUND((DATE($AA$1,AQ$2,$Z20)-$A$1)/7,0)-'1週目'!$P$2+$A$2)</f>
        <v/>
      </c>
      <c r="AR20" s="140" t="str">
        <f>IF(ROUND((DATE($AA$1,AQ$2,$Z21)-$A$1)/7,0)=ROUND((DATE($AA$1,AQ$2,$Z20)-$A$1)/7,0),"","P"&amp;ROUND((DATE($AA$1,AQ$2,$Z20)-$A$1)/7,0)-'1週目'!$P$2+$A$2)</f>
        <v/>
      </c>
      <c r="AS20" s="179" t="str">
        <f>IF(ROUND((DATE($AA$1+1,AS$2,$Z19)-$A$1)/7,0)=ROUND((DATE($AA$1+1,AS$2,$Z20)-$A$1)/7,0),"","P"&amp;ROUND((DATE($AA$1+1,AS$2,$Z20)-$A$1)/7,0)-'1週目'!$P$2+$A$2)</f>
        <v>P45</v>
      </c>
      <c r="AT20" s="140" t="str">
        <f>IF(ROUND((DATE($AA$1+1,AS$2,$Z21)-$A$1)/7,0)=ROUND((DATE($AA$1+1,AS$2,$Z20)-$A$1)/7,0),"","P"&amp;ROUND((DATE($AA$1+1,AS$2,$Z20)-$A$1)/7,0)-'1週目'!$P$2+$A$2)</f>
        <v/>
      </c>
      <c r="AU20" s="179" t="str">
        <f>IF(ROUND((DATE($AA$1+1,AU$2,$Z19)-$A$1)/7,0)=ROUND((DATE($AA$1+1,AU$2,$Z20)-$A$1)/7,0),"","P"&amp;ROUND((DATE($AA$1+1,AU$2,$Z20)-$A$1)/7,0)-'1週目'!$P$2+$A$2)</f>
        <v/>
      </c>
      <c r="AV20" s="140" t="str">
        <f>IF(ROUND((DATE($AA$1+1,AU$2,$Z21)-$A$1)/7,0)=ROUND((DATE($AA$1+1,AU$2,$Z20)-$A$1)/7,0),"","P"&amp;ROUND((DATE($AA$1+1,AU$2,$Z20)-$A$1)/7,0)-'1週目'!$P$2+$A$2)</f>
        <v/>
      </c>
      <c r="AW20" s="179" t="str">
        <f>IF(ROUND((DATE($AA$1+1,AW$2,$Z19)-$A$1)/7,0)=ROUND((DATE($AA$1+1,AW$2,$Z20)-$A$1)/7,0),"","P"&amp;ROUND((DATE($AA$1+1,AW$2,$Z20)-$A$1)/7,0)-'1週目'!$P$2+$A$2)</f>
        <v/>
      </c>
      <c r="AX20" s="146" t="str">
        <f>IF(ROUND((DATE($AA$1+1,AW$2,$Z21)-$A$1)/7,0)=ROUND((DATE($AA$1+1,AW$2,$Z20)-$A$1)/7,0),"","P"&amp;ROUND((DATE($AA$1+1,AW$2,$Z20)-$A$1)/7,0)-'1週目'!$P$2+$A$2)</f>
        <v/>
      </c>
    </row>
    <row r="21" spans="2:50" s="128" customFormat="1" ht="39" customHeight="1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Z21" s="128">
        <v>19</v>
      </c>
      <c r="AA21" s="177" t="str">
        <f>IF(ROUND((DATE($AA$1,AA$2,$Z20)-$A$1)/7,0)=ROUND((DATE($AA$1,AA$2,$Z21)-$A$1)/7,0),"","P"&amp;ROUND((DATE($AA$1,AA$2,$Z21)-$A$1)/7,0)-'1週目'!$P$2+$A$2)</f>
        <v/>
      </c>
      <c r="AB21" s="140" t="str">
        <f>IF(ROUND((DATE($AA$1,AA$2,$Z22)-$A$1)/7,0)=ROUND((DATE($AA$1,AA$2,$Z21)-$A$1)/7,0),"","P"&amp;ROUND((DATE($AA$1,AA$2,$Z21)-$A$1)/7,0)-'1週目'!$P$2+$A$2)</f>
        <v>P5</v>
      </c>
      <c r="AC21" s="179" t="str">
        <f>IF(ROUND((DATE($AA$1,AC$2,$Z20)-$A$1)/7,0)=ROUND((DATE($AA$1,AC$2,$Z21)-$A$1)/7,0),"","P"&amp;ROUND((DATE($AA$1,AC$2,$Z21)-$A$1)/7,0)-'1週目'!$P$2+$A$2)</f>
        <v/>
      </c>
      <c r="AD21" s="140" t="str">
        <f>IF(ROUND((DATE($AA$1,AC$2,$Z22)-$A$1)/7,0)=ROUND((DATE($AA$1,AC$2,$Z21)-$A$1)/7,0),"","P"&amp;ROUND((DATE($AA$1,AC$2,$Z21)-$A$1)/7,0)-'1週目'!$P$2+$A$2)</f>
        <v/>
      </c>
      <c r="AE21" s="179" t="str">
        <f>IF(ROUND((DATE($AA$1,AE$2,$Z20)-$A$1)/7,0)=ROUND((DATE($AA$1,AE$2,$Z21)-$A$1)/7,0),"","P"&amp;ROUND((DATE($AA$1,AE$2,$Z21)-$A$1)/7,0)-'1週目'!$P$2+$A$2)</f>
        <v/>
      </c>
      <c r="AF21" s="140" t="str">
        <f>IF(ROUND((DATE($AA$1,AE$2,$Z22)-$A$1)/7,0)=ROUND((DATE($AA$1,AE$2,$Z21)-$A$1)/7,0),"","P"&amp;ROUND((DATE($AA$1,AE$2,$Z21)-$A$1)/7,0)-'1週目'!$P$2+$A$2)</f>
        <v/>
      </c>
      <c r="AG21" s="179" t="str">
        <f>IF(ROUND((DATE($AA$1,AG$2,$Z20)-$A$1)/7,0)=ROUND((DATE($AA$1,AG$2,$Z21)-$A$1)/7,0),"","P"&amp;ROUND((DATE($AA$1,AG$2,$Z21)-$A$1)/7,0)-'1週目'!$P$2+$A$2)</f>
        <v/>
      </c>
      <c r="AH21" s="140" t="str">
        <f>IF(ROUND((DATE($AA$1,AG$2,$Z22)-$A$1)/7,0)=ROUND((DATE($AA$1,AG$2,$Z21)-$A$1)/7,0),"","P"&amp;ROUND((DATE($AA$1,AG$2,$Z21)-$A$1)/7,0)-'1週目'!$P$2+$A$2)</f>
        <v>P18</v>
      </c>
      <c r="AI21" s="179" t="str">
        <f>IF(ROUND((DATE($AA$1,AI$2,$Z20)-$A$1)/7,0)=ROUND((DATE($AA$1,AI$2,$Z21)-$A$1)/7,0),"","P"&amp;ROUND((DATE($AA$1,AI$2,$Z21)-$A$1)/7,0)-'1週目'!$P$2+$A$2)</f>
        <v/>
      </c>
      <c r="AJ21" s="140" t="str">
        <f>IF(ROUND((DATE($AA$1,AI$2,$Z22)-$A$1)/7,0)=ROUND((DATE($AA$1,AI$2,$Z21)-$A$1)/7,0),"","P"&amp;ROUND((DATE($AA$1,AI$2,$Z21)-$A$1)/7,0)-'1週目'!$P$2+$A$2)</f>
        <v/>
      </c>
      <c r="AK21" s="179" t="str">
        <f>IF(ROUND((DATE($AA$1,AK$2,$Z20)-$A$1)/7,0)=ROUND((DATE($AA$1,AK$2,$Z21)-$A$1)/7,0),"","P"&amp;ROUND((DATE($AA$1,AK$2,$Z21)-$A$1)/7,0)-'1週目'!$P$2+$A$2)</f>
        <v/>
      </c>
      <c r="AL21" s="140" t="str">
        <f>IF(ROUND((DATE($AA$1,AK$2,$Z22)-$A$1)/7,0)=ROUND((DATE($AA$1,AK$2,$Z21)-$A$1)/7,0),"","P"&amp;ROUND((DATE($AA$1,AK$2,$Z21)-$A$1)/7,0)-'1週目'!$P$2+$A$2)</f>
        <v/>
      </c>
      <c r="AM21" s="179" t="str">
        <f>IF(ROUND((DATE($AA$1,AM$2,$Z20)-$A$1)/7,0)=ROUND((DATE($AA$1,AM$2,$Z21)-$A$1)/7,0),"","P"&amp;ROUND((DATE($AA$1,AM$2,$Z21)-$A$1)/7,0)-'1週目'!$P$2+$A$2)</f>
        <v>P32</v>
      </c>
      <c r="AN21" s="140" t="str">
        <f>IF(ROUND((DATE($AA$1,AM$2,$Z22)-$A$1)/7,0)=ROUND((DATE($AA$1,AM$2,$Z21)-$A$1)/7,0),"","P"&amp;ROUND((DATE($AA$1,AM$2,$Z21)-$A$1)/7,0)-'1週目'!$P$2+$A$2)</f>
        <v/>
      </c>
      <c r="AO21" s="179" t="str">
        <f>IF(ROUND((DATE($AA$1,AO$2,$Z20)-$A$1)/7,0)=ROUND((DATE($AA$1,AO$2,$Z21)-$A$1)/7,0),"","P"&amp;ROUND((DATE($AA$1,AO$2,$Z21)-$A$1)/7,0)-'1週目'!$P$2+$A$2)</f>
        <v/>
      </c>
      <c r="AP21" s="140" t="str">
        <f>IF(ROUND((DATE($AA$1,AO$2,$Z22)-$A$1)/7,0)=ROUND((DATE($AA$1,AO$2,$Z21)-$A$1)/7,0),"","P"&amp;ROUND((DATE($AA$1,AO$2,$Z21)-$A$1)/7,0)-'1週目'!$P$2+$A$2)</f>
        <v/>
      </c>
      <c r="AQ21" s="179" t="str">
        <f>IF(ROUND((DATE($AA$1,AQ$2,$Z20)-$A$1)/7,0)=ROUND((DATE($AA$1,AQ$2,$Z21)-$A$1)/7,0),"","P"&amp;ROUND((DATE($AA$1,AQ$2,$Z21)-$A$1)/7,0)-'1週目'!$P$2+$A$2)</f>
        <v/>
      </c>
      <c r="AR21" s="140" t="str">
        <f>IF(ROUND((DATE($AA$1,AQ$2,$Z22)-$A$1)/7,0)=ROUND((DATE($AA$1,AQ$2,$Z21)-$A$1)/7,0),"","P"&amp;ROUND((DATE($AA$1,AQ$2,$Z21)-$A$1)/7,0)-'1週目'!$P$2+$A$2)</f>
        <v/>
      </c>
      <c r="AS21" s="179" t="str">
        <f>IF(ROUND((DATE($AA$1+1,AS$2,$Z20)-$A$1)/7,0)=ROUND((DATE($AA$1+1,AS$2,$Z21)-$A$1)/7,0),"","P"&amp;ROUND((DATE($AA$1+1,AS$2,$Z21)-$A$1)/7,0)-'1週目'!$P$2+$A$2)</f>
        <v/>
      </c>
      <c r="AT21" s="140" t="str">
        <f>IF(ROUND((DATE($AA$1+1,AS$2,$Z22)-$A$1)/7,0)=ROUND((DATE($AA$1+1,AS$2,$Z21)-$A$1)/7,0),"","P"&amp;ROUND((DATE($AA$1+1,AS$2,$Z21)-$A$1)/7,0)-'1週目'!$P$2+$A$2)</f>
        <v/>
      </c>
      <c r="AU21" s="179" t="str">
        <f>IF(ROUND((DATE($AA$1+1,AU$2,$Z20)-$A$1)/7,0)=ROUND((DATE($AA$1+1,AU$2,$Z21)-$A$1)/7,0),"","P"&amp;ROUND((DATE($AA$1+1,AU$2,$Z21)-$A$1)/7,0)-'1週目'!$P$2+$A$2)</f>
        <v/>
      </c>
      <c r="AV21" s="140" t="str">
        <f>IF(ROUND((DATE($AA$1+1,AU$2,$Z22)-$A$1)/7,0)=ROUND((DATE($AA$1+1,AU$2,$Z21)-$A$1)/7,0),"","P"&amp;ROUND((DATE($AA$1+1,AU$2,$Z21)-$A$1)/7,0)-'1週目'!$P$2+$A$2)</f>
        <v/>
      </c>
      <c r="AW21" s="179" t="str">
        <f>IF(ROUND((DATE($AA$1+1,AW$2,$Z20)-$A$1)/7,0)=ROUND((DATE($AA$1+1,AW$2,$Z21)-$A$1)/7,0),"","P"&amp;ROUND((DATE($AA$1+1,AW$2,$Z21)-$A$1)/7,0)-'1週目'!$P$2+$A$2)</f>
        <v/>
      </c>
      <c r="AX21" s="146" t="str">
        <f>IF(ROUND((DATE($AA$1+1,AW$2,$Z22)-$A$1)/7,0)=ROUND((DATE($AA$1+1,AW$2,$Z21)-$A$1)/7,0),"","P"&amp;ROUND((DATE($AA$1+1,AW$2,$Z21)-$A$1)/7,0)-'1週目'!$P$2+$A$2)</f>
        <v/>
      </c>
    </row>
    <row r="22" spans="2:50" s="128" customFormat="1" ht="39" customHeight="1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Z22" s="128">
        <v>20</v>
      </c>
      <c r="AA22" s="177" t="str">
        <f>IF(ROUND((DATE($AA$1,AA$2,$Z21)-$A$1)/7,0)=ROUND((DATE($AA$1,AA$2,$Z22)-$A$1)/7,0),"","P"&amp;ROUND((DATE($AA$1,AA$2,$Z22)-$A$1)/7,0)-'1週目'!$P$2+$A$2)</f>
        <v>P6</v>
      </c>
      <c r="AB22" s="140" t="str">
        <f>IF(ROUND((DATE($AA$1,AA$2,$Z23)-$A$1)/7,0)=ROUND((DATE($AA$1,AA$2,$Z22)-$A$1)/7,0),"","P"&amp;ROUND((DATE($AA$1,AA$2,$Z22)-$A$1)/7,0)-'1週目'!$P$2+$A$2)</f>
        <v/>
      </c>
      <c r="AC22" s="179" t="str">
        <f>IF(ROUND((DATE($AA$1,AC$2,$Z21)-$A$1)/7,0)=ROUND((DATE($AA$1,AC$2,$Z22)-$A$1)/7,0),"","P"&amp;ROUND((DATE($AA$1,AC$2,$Z22)-$A$1)/7,0)-'1週目'!$P$2+$A$2)</f>
        <v/>
      </c>
      <c r="AD22" s="140" t="str">
        <f>IF(ROUND((DATE($AA$1,AC$2,$Z23)-$A$1)/7,0)=ROUND((DATE($AA$1,AC$2,$Z22)-$A$1)/7,0),"","P"&amp;ROUND((DATE($AA$1,AC$2,$Z22)-$A$1)/7,0)-'1週目'!$P$2+$A$2)</f>
        <v/>
      </c>
      <c r="AE22" s="179" t="str">
        <f>IF(ROUND((DATE($AA$1,AE$2,$Z21)-$A$1)/7,0)=ROUND((DATE($AA$1,AE$2,$Z22)-$A$1)/7,0),"","P"&amp;ROUND((DATE($AA$1,AE$2,$Z22)-$A$1)/7,0)-'1週目'!$P$2+$A$2)</f>
        <v/>
      </c>
      <c r="AF22" s="140" t="str">
        <f>IF(ROUND((DATE($AA$1,AE$2,$Z23)-$A$1)/7,0)=ROUND((DATE($AA$1,AE$2,$Z22)-$A$1)/7,0),"","P"&amp;ROUND((DATE($AA$1,AE$2,$Z22)-$A$1)/7,0)-'1週目'!$P$2+$A$2)</f>
        <v/>
      </c>
      <c r="AG22" s="179" t="str">
        <f>IF(ROUND((DATE($AA$1,AG$2,$Z21)-$A$1)/7,0)=ROUND((DATE($AA$1,AG$2,$Z22)-$A$1)/7,0),"","P"&amp;ROUND((DATE($AA$1,AG$2,$Z22)-$A$1)/7,0)-'1週目'!$P$2+$A$2)</f>
        <v>P19</v>
      </c>
      <c r="AH22" s="140" t="str">
        <f>IF(ROUND((DATE($AA$1,AG$2,$Z23)-$A$1)/7,0)=ROUND((DATE($AA$1,AG$2,$Z22)-$A$1)/7,0),"","P"&amp;ROUND((DATE($AA$1,AG$2,$Z22)-$A$1)/7,0)-'1週目'!$P$2+$A$2)</f>
        <v/>
      </c>
      <c r="AI22" s="179" t="str">
        <f>IF(ROUND((DATE($AA$1,AI$2,$Z21)-$A$1)/7,0)=ROUND((DATE($AA$1,AI$2,$Z22)-$A$1)/7,0),"","P"&amp;ROUND((DATE($AA$1,AI$2,$Z22)-$A$1)/7,0)-'1週目'!$P$2+$A$2)</f>
        <v/>
      </c>
      <c r="AJ22" s="140" t="str">
        <f>IF(ROUND((DATE($AA$1,AI$2,$Z23)-$A$1)/7,0)=ROUND((DATE($AA$1,AI$2,$Z22)-$A$1)/7,0),"","P"&amp;ROUND((DATE($AA$1,AI$2,$Z22)-$A$1)/7,0)-'1週目'!$P$2+$A$2)</f>
        <v/>
      </c>
      <c r="AK22" s="179" t="str">
        <f>IF(ROUND((DATE($AA$1,AK$2,$Z21)-$A$1)/7,0)=ROUND((DATE($AA$1,AK$2,$Z22)-$A$1)/7,0),"","P"&amp;ROUND((DATE($AA$1,AK$2,$Z22)-$A$1)/7,0)-'1週目'!$P$2+$A$2)</f>
        <v/>
      </c>
      <c r="AL22" s="140" t="str">
        <f>IF(ROUND((DATE($AA$1,AK$2,$Z23)-$A$1)/7,0)=ROUND((DATE($AA$1,AK$2,$Z22)-$A$1)/7,0),"","P"&amp;ROUND((DATE($AA$1,AK$2,$Z22)-$A$1)/7,0)-'1週目'!$P$2+$A$2)</f>
        <v>P27</v>
      </c>
      <c r="AM22" s="179" t="str">
        <f>IF(ROUND((DATE($AA$1,AM$2,$Z21)-$A$1)/7,0)=ROUND((DATE($AA$1,AM$2,$Z22)-$A$1)/7,0),"","P"&amp;ROUND((DATE($AA$1,AM$2,$Z22)-$A$1)/7,0)-'1週目'!$P$2+$A$2)</f>
        <v/>
      </c>
      <c r="AN22" s="140" t="str">
        <f>IF(ROUND((DATE($AA$1,AM$2,$Z23)-$A$1)/7,0)=ROUND((DATE($AA$1,AM$2,$Z22)-$A$1)/7,0),"","P"&amp;ROUND((DATE($AA$1,AM$2,$Z22)-$A$1)/7,0)-'1週目'!$P$2+$A$2)</f>
        <v/>
      </c>
      <c r="AO22" s="179" t="str">
        <f>IF(ROUND((DATE($AA$1,AO$2,$Z21)-$A$1)/7,0)=ROUND((DATE($AA$1,AO$2,$Z22)-$A$1)/7,0),"","P"&amp;ROUND((DATE($AA$1,AO$2,$Z22)-$A$1)/7,0)-'1週目'!$P$2+$A$2)</f>
        <v/>
      </c>
      <c r="AP22" s="140" t="str">
        <f>IF(ROUND((DATE($AA$1,AO$2,$Z23)-$A$1)/7,0)=ROUND((DATE($AA$1,AO$2,$Z22)-$A$1)/7,0),"","P"&amp;ROUND((DATE($AA$1,AO$2,$Z22)-$A$1)/7,0)-'1週目'!$P$2+$A$2)</f>
        <v/>
      </c>
      <c r="AQ22" s="179" t="str">
        <f>IF(ROUND((DATE($AA$1,AQ$2,$Z21)-$A$1)/7,0)=ROUND((DATE($AA$1,AQ$2,$Z22)-$A$1)/7,0),"","P"&amp;ROUND((DATE($AA$1,AQ$2,$Z22)-$A$1)/7,0)-'1週目'!$P$2+$A$2)</f>
        <v/>
      </c>
      <c r="AR22" s="140" t="str">
        <f>IF(ROUND((DATE($AA$1,AQ$2,$Z23)-$A$1)/7,0)=ROUND((DATE($AA$1,AQ$2,$Z22)-$A$1)/7,0),"","P"&amp;ROUND((DATE($AA$1,AQ$2,$Z22)-$A$1)/7,0)-'1週目'!$P$2+$A$2)</f>
        <v>P40</v>
      </c>
      <c r="AS22" s="179" t="str">
        <f>IF(ROUND((DATE($AA$1+1,AS$2,$Z21)-$A$1)/7,0)=ROUND((DATE($AA$1+1,AS$2,$Z22)-$A$1)/7,0),"","P"&amp;ROUND((DATE($AA$1+1,AS$2,$Z22)-$A$1)/7,0)-'1週目'!$P$2+$A$2)</f>
        <v/>
      </c>
      <c r="AT22" s="140" t="str">
        <f>IF(ROUND((DATE($AA$1+1,AS$2,$Z23)-$A$1)/7,0)=ROUND((DATE($AA$1+1,AS$2,$Z22)-$A$1)/7,0),"","P"&amp;ROUND((DATE($AA$1+1,AS$2,$Z22)-$A$1)/7,0)-'1週目'!$P$2+$A$2)</f>
        <v/>
      </c>
      <c r="AU22" s="179" t="str">
        <f>IF(ROUND((DATE($AA$1+1,AU$2,$Z21)-$A$1)/7,0)=ROUND((DATE($AA$1+1,AU$2,$Z22)-$A$1)/7,0),"","P"&amp;ROUND((DATE($AA$1+1,AU$2,$Z22)-$A$1)/7,0)-'1週目'!$P$2+$A$2)</f>
        <v/>
      </c>
      <c r="AV22" s="140" t="str">
        <f>IF(ROUND((DATE($AA$1+1,AU$2,$Z23)-$A$1)/7,0)=ROUND((DATE($AA$1+1,AU$2,$Z22)-$A$1)/7,0),"","P"&amp;ROUND((DATE($AA$1+1,AU$2,$Z22)-$A$1)/7,0)-'1週目'!$P$2+$A$2)</f>
        <v/>
      </c>
      <c r="AW22" s="179" t="str">
        <f>IF(ROUND((DATE($AA$1+1,AW$2,$Z21)-$A$1)/7,0)=ROUND((DATE($AA$1+1,AW$2,$Z22)-$A$1)/7,0),"","P"&amp;ROUND((DATE($AA$1+1,AW$2,$Z22)-$A$1)/7,0)-'1週目'!$P$2+$A$2)</f>
        <v/>
      </c>
      <c r="AX22" s="146" t="str">
        <f>IF(ROUND((DATE($AA$1+1,AW$2,$Z23)-$A$1)/7,0)=ROUND((DATE($AA$1+1,AW$2,$Z22)-$A$1)/7,0),"","P"&amp;ROUND((DATE($AA$1+1,AW$2,$Z22)-$A$1)/7,0)-'1週目'!$P$2+$A$2)</f>
        <v/>
      </c>
    </row>
    <row r="23" spans="2:50" s="128" customFormat="1" ht="39" customHeight="1"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Z23" s="128">
        <v>21</v>
      </c>
      <c r="AA23" s="177" t="str">
        <f>IF(ROUND((DATE($AA$1,AA$2,$Z22)-$A$1)/7,0)=ROUND((DATE($AA$1,AA$2,$Z23)-$A$1)/7,0),"","P"&amp;ROUND((DATE($AA$1,AA$2,$Z23)-$A$1)/7,0)-'1週目'!$P$2+$A$2)</f>
        <v/>
      </c>
      <c r="AB23" s="140" t="str">
        <f>IF(ROUND((DATE($AA$1,AA$2,$Z24)-$A$1)/7,0)=ROUND((DATE($AA$1,AA$2,$Z23)-$A$1)/7,0),"","P"&amp;ROUND((DATE($AA$1,AA$2,$Z23)-$A$1)/7,0)-'1週目'!$P$2+$A$2)</f>
        <v/>
      </c>
      <c r="AC23" s="179" t="str">
        <f>IF(ROUND((DATE($AA$1,AC$2,$Z22)-$A$1)/7,0)=ROUND((DATE($AA$1,AC$2,$Z23)-$A$1)/7,0),"","P"&amp;ROUND((DATE($AA$1,AC$2,$Z23)-$A$1)/7,0)-'1週目'!$P$2+$A$2)</f>
        <v/>
      </c>
      <c r="AD23" s="140" t="str">
        <f>IF(ROUND((DATE($AA$1,AC$2,$Z24)-$A$1)/7,0)=ROUND((DATE($AA$1,AC$2,$Z23)-$A$1)/7,0),"","P"&amp;ROUND((DATE($AA$1,AC$2,$Z23)-$A$1)/7,0)-'1週目'!$P$2+$A$2)</f>
        <v/>
      </c>
      <c r="AE23" s="179" t="str">
        <f>IF(ROUND((DATE($AA$1,AE$2,$Z22)-$A$1)/7,0)=ROUND((DATE($AA$1,AE$2,$Z23)-$A$1)/7,0),"","P"&amp;ROUND((DATE($AA$1,AE$2,$Z23)-$A$1)/7,0)-'1週目'!$P$2+$A$2)</f>
        <v/>
      </c>
      <c r="AF23" s="140" t="str">
        <f>IF(ROUND((DATE($AA$1,AE$2,$Z24)-$A$1)/7,0)=ROUND((DATE($AA$1,AE$2,$Z23)-$A$1)/7,0),"","P"&amp;ROUND((DATE($AA$1,AE$2,$Z23)-$A$1)/7,0)-'1週目'!$P$2+$A$2)</f>
        <v>P14</v>
      </c>
      <c r="AG23" s="179" t="str">
        <f>IF(ROUND((DATE($AA$1,AG$2,$Z22)-$A$1)/7,0)=ROUND((DATE($AA$1,AG$2,$Z23)-$A$1)/7,0),"","P"&amp;ROUND((DATE($AA$1,AG$2,$Z23)-$A$1)/7,0)-'1週目'!$P$2+$A$2)</f>
        <v/>
      </c>
      <c r="AH23" s="140" t="str">
        <f>IF(ROUND((DATE($AA$1,AG$2,$Z24)-$A$1)/7,0)=ROUND((DATE($AA$1,AG$2,$Z23)-$A$1)/7,0),"","P"&amp;ROUND((DATE($AA$1,AG$2,$Z23)-$A$1)/7,0)-'1週目'!$P$2+$A$2)</f>
        <v/>
      </c>
      <c r="AI23" s="179" t="str">
        <f>IF(ROUND((DATE($AA$1,AI$2,$Z22)-$A$1)/7,0)=ROUND((DATE($AA$1,AI$2,$Z23)-$A$1)/7,0),"","P"&amp;ROUND((DATE($AA$1,AI$2,$Z23)-$A$1)/7,0)-'1週目'!$P$2+$A$2)</f>
        <v/>
      </c>
      <c r="AJ23" s="140" t="str">
        <f>IF(ROUND((DATE($AA$1,AI$2,$Z24)-$A$1)/7,0)=ROUND((DATE($AA$1,AI$2,$Z23)-$A$1)/7,0),"","P"&amp;ROUND((DATE($AA$1,AI$2,$Z23)-$A$1)/7,0)-'1週目'!$P$2+$A$2)</f>
        <v/>
      </c>
      <c r="AK23" s="179" t="str">
        <f>IF(ROUND((DATE($AA$1,AK$2,$Z22)-$A$1)/7,0)=ROUND((DATE($AA$1,AK$2,$Z23)-$A$1)/7,0),"","P"&amp;ROUND((DATE($AA$1,AK$2,$Z23)-$A$1)/7,0)-'1週目'!$P$2+$A$2)</f>
        <v>P28</v>
      </c>
      <c r="AL23" s="140" t="str">
        <f>IF(ROUND((DATE($AA$1,AK$2,$Z24)-$A$1)/7,0)=ROUND((DATE($AA$1,AK$2,$Z23)-$A$1)/7,0),"","P"&amp;ROUND((DATE($AA$1,AK$2,$Z23)-$A$1)/7,0)-'1週目'!$P$2+$A$2)</f>
        <v/>
      </c>
      <c r="AM23" s="179" t="str">
        <f>IF(ROUND((DATE($AA$1,AM$2,$Z22)-$A$1)/7,0)=ROUND((DATE($AA$1,AM$2,$Z23)-$A$1)/7,0),"","P"&amp;ROUND((DATE($AA$1,AM$2,$Z23)-$A$1)/7,0)-'1週目'!$P$2+$A$2)</f>
        <v/>
      </c>
      <c r="AN23" s="140" t="str">
        <f>IF(ROUND((DATE($AA$1,AM$2,$Z24)-$A$1)/7,0)=ROUND((DATE($AA$1,AM$2,$Z23)-$A$1)/7,0),"","P"&amp;ROUND((DATE($AA$1,AM$2,$Z23)-$A$1)/7,0)-'1週目'!$P$2+$A$2)</f>
        <v/>
      </c>
      <c r="AO23" s="179" t="str">
        <f>IF(ROUND((DATE($AA$1,AO$2,$Z22)-$A$1)/7,0)=ROUND((DATE($AA$1,AO$2,$Z23)-$A$1)/7,0),"","P"&amp;ROUND((DATE($AA$1,AO$2,$Z23)-$A$1)/7,0)-'1週目'!$P$2+$A$2)</f>
        <v/>
      </c>
      <c r="AP23" s="140" t="str">
        <f>IF(ROUND((DATE($AA$1,AO$2,$Z24)-$A$1)/7,0)=ROUND((DATE($AA$1,AO$2,$Z23)-$A$1)/7,0),"","P"&amp;ROUND((DATE($AA$1,AO$2,$Z23)-$A$1)/7,0)-'1週目'!$P$2+$A$2)</f>
        <v/>
      </c>
      <c r="AQ23" s="179" t="str">
        <f>IF(ROUND((DATE($AA$1,AQ$2,$Z22)-$A$1)/7,0)=ROUND((DATE($AA$1,AQ$2,$Z23)-$A$1)/7,0),"","P"&amp;ROUND((DATE($AA$1,AQ$2,$Z23)-$A$1)/7,0)-'1週目'!$P$2+$A$2)</f>
        <v>P41</v>
      </c>
      <c r="AR23" s="140" t="str">
        <f>IF(ROUND((DATE($AA$1,AQ$2,$Z24)-$A$1)/7,0)=ROUND((DATE($AA$1,AQ$2,$Z23)-$A$1)/7,0),"","P"&amp;ROUND((DATE($AA$1,AQ$2,$Z23)-$A$1)/7,0)-'1週目'!$P$2+$A$2)</f>
        <v/>
      </c>
      <c r="AS23" s="179" t="str">
        <f>IF(ROUND((DATE($AA$1+1,AS$2,$Z22)-$A$1)/7,0)=ROUND((DATE($AA$1+1,AS$2,$Z23)-$A$1)/7,0),"","P"&amp;ROUND((DATE($AA$1+1,AS$2,$Z23)-$A$1)/7,0)-'1週目'!$P$2+$A$2)</f>
        <v/>
      </c>
      <c r="AT23" s="140" t="str">
        <f>IF(ROUND((DATE($AA$1+1,AS$2,$Z24)-$A$1)/7,0)=ROUND((DATE($AA$1+1,AS$2,$Z23)-$A$1)/7,0),"","P"&amp;ROUND((DATE($AA$1+1,AS$2,$Z23)-$A$1)/7,0)-'1週目'!$P$2+$A$2)</f>
        <v/>
      </c>
      <c r="AU23" s="179" t="str">
        <f>IF(ROUND((DATE($AA$1+1,AU$2,$Z22)-$A$1)/7,0)=ROUND((DATE($AA$1+1,AU$2,$Z23)-$A$1)/7,0),"","P"&amp;ROUND((DATE($AA$1+1,AU$2,$Z23)-$A$1)/7,0)-'1週目'!$P$2+$A$2)</f>
        <v/>
      </c>
      <c r="AV23" s="140" t="str">
        <f>IF(ROUND((DATE($AA$1+1,AU$2,$Z24)-$A$1)/7,0)=ROUND((DATE($AA$1+1,AU$2,$Z23)-$A$1)/7,0),"","P"&amp;ROUND((DATE($AA$1+1,AU$2,$Z23)-$A$1)/7,0)-'1週目'!$P$2+$A$2)</f>
        <v>P49</v>
      </c>
      <c r="AW23" s="179" t="str">
        <f>IF(ROUND((DATE($AA$1+1,AW$2,$Z22)-$A$1)/7,0)=ROUND((DATE($AA$1+1,AW$2,$Z23)-$A$1)/7,0),"","P"&amp;ROUND((DATE($AA$1+1,AW$2,$Z23)-$A$1)/7,0)-'1週目'!$P$2+$A$2)</f>
        <v/>
      </c>
      <c r="AX23" s="146" t="str">
        <f>IF(ROUND((DATE($AA$1+1,AW$2,$Z24)-$A$1)/7,0)=ROUND((DATE($AA$1+1,AW$2,$Z23)-$A$1)/7,0),"","P"&amp;ROUND((DATE($AA$1+1,AW$2,$Z23)-$A$1)/7,0)-'1週目'!$P$2+$A$2)</f>
        <v>P53</v>
      </c>
    </row>
    <row r="24" spans="2:50" s="128" customFormat="1" ht="39" customHeight="1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Z24" s="128">
        <v>22</v>
      </c>
      <c r="AA24" s="177" t="str">
        <f>IF(ROUND((DATE($AA$1,AA$2,$Z23)-$A$1)/7,0)=ROUND((DATE($AA$1,AA$2,$Z24)-$A$1)/7,0),"","P"&amp;ROUND((DATE($AA$1,AA$2,$Z24)-$A$1)/7,0)-'1週目'!$P$2+$A$2)</f>
        <v/>
      </c>
      <c r="AB24" s="140" t="str">
        <f>IF(ROUND((DATE($AA$1,AA$2,$Z25)-$A$1)/7,0)=ROUND((DATE($AA$1,AA$2,$Z24)-$A$1)/7,0),"","P"&amp;ROUND((DATE($AA$1,AA$2,$Z24)-$A$1)/7,0)-'1週目'!$P$2+$A$2)</f>
        <v/>
      </c>
      <c r="AC24" s="179" t="str">
        <f>IF(ROUND((DATE($AA$1,AC$2,$Z23)-$A$1)/7,0)=ROUND((DATE($AA$1,AC$2,$Z24)-$A$1)/7,0),"","P"&amp;ROUND((DATE($AA$1,AC$2,$Z24)-$A$1)/7,0)-'1週目'!$P$2+$A$2)</f>
        <v/>
      </c>
      <c r="AD24" s="140" t="str">
        <f>IF(ROUND((DATE($AA$1,AC$2,$Z25)-$A$1)/7,0)=ROUND((DATE($AA$1,AC$2,$Z24)-$A$1)/7,0),"","P"&amp;ROUND((DATE($AA$1,AC$2,$Z24)-$A$1)/7,0)-'1週目'!$P$2+$A$2)</f>
        <v/>
      </c>
      <c r="AE24" s="179" t="str">
        <f>IF(ROUND((DATE($AA$1,AE$2,$Z23)-$A$1)/7,0)=ROUND((DATE($AA$1,AE$2,$Z24)-$A$1)/7,0),"","P"&amp;ROUND((DATE($AA$1,AE$2,$Z24)-$A$1)/7,0)-'1週目'!$P$2+$A$2)</f>
        <v>P15</v>
      </c>
      <c r="AF24" s="140" t="str">
        <f>IF(ROUND((DATE($AA$1,AE$2,$Z25)-$A$1)/7,0)=ROUND((DATE($AA$1,AE$2,$Z24)-$A$1)/7,0),"","P"&amp;ROUND((DATE($AA$1,AE$2,$Z24)-$A$1)/7,0)-'1週目'!$P$2+$A$2)</f>
        <v/>
      </c>
      <c r="AG24" s="179" t="str">
        <f>IF(ROUND((DATE($AA$1,AG$2,$Z23)-$A$1)/7,0)=ROUND((DATE($AA$1,AG$2,$Z24)-$A$1)/7,0),"","P"&amp;ROUND((DATE($AA$1,AG$2,$Z24)-$A$1)/7,0)-'1週目'!$P$2+$A$2)</f>
        <v/>
      </c>
      <c r="AH24" s="140" t="str">
        <f>IF(ROUND((DATE($AA$1,AG$2,$Z25)-$A$1)/7,0)=ROUND((DATE($AA$1,AG$2,$Z24)-$A$1)/7,0),"","P"&amp;ROUND((DATE($AA$1,AG$2,$Z24)-$A$1)/7,0)-'1週目'!$P$2+$A$2)</f>
        <v/>
      </c>
      <c r="AI24" s="179" t="str">
        <f>IF(ROUND((DATE($AA$1,AI$2,$Z23)-$A$1)/7,0)=ROUND((DATE($AA$1,AI$2,$Z24)-$A$1)/7,0),"","P"&amp;ROUND((DATE($AA$1,AI$2,$Z24)-$A$1)/7,0)-'1週目'!$P$2+$A$2)</f>
        <v/>
      </c>
      <c r="AJ24" s="140" t="str">
        <f>IF(ROUND((DATE($AA$1,AI$2,$Z25)-$A$1)/7,0)=ROUND((DATE($AA$1,AI$2,$Z24)-$A$1)/7,0),"","P"&amp;ROUND((DATE($AA$1,AI$2,$Z24)-$A$1)/7,0)-'1週目'!$P$2+$A$2)</f>
        <v/>
      </c>
      <c r="AK24" s="179" t="str">
        <f>IF(ROUND((DATE($AA$1,AK$2,$Z23)-$A$1)/7,0)=ROUND((DATE($AA$1,AK$2,$Z24)-$A$1)/7,0),"","P"&amp;ROUND((DATE($AA$1,AK$2,$Z24)-$A$1)/7,0)-'1週目'!$P$2+$A$2)</f>
        <v/>
      </c>
      <c r="AL24" s="140" t="str">
        <f>IF(ROUND((DATE($AA$1,AK$2,$Z25)-$A$1)/7,0)=ROUND((DATE($AA$1,AK$2,$Z24)-$A$1)/7,0),"","P"&amp;ROUND((DATE($AA$1,AK$2,$Z24)-$A$1)/7,0)-'1週目'!$P$2+$A$2)</f>
        <v/>
      </c>
      <c r="AM24" s="179" t="str">
        <f>IF(ROUND((DATE($AA$1,AM$2,$Z23)-$A$1)/7,0)=ROUND((DATE($AA$1,AM$2,$Z24)-$A$1)/7,0),"","P"&amp;ROUND((DATE($AA$1,AM$2,$Z24)-$A$1)/7,0)-'1週目'!$P$2+$A$2)</f>
        <v/>
      </c>
      <c r="AN24" s="140" t="str">
        <f>IF(ROUND((DATE($AA$1,AM$2,$Z25)-$A$1)/7,0)=ROUND((DATE($AA$1,AM$2,$Z24)-$A$1)/7,0),"","P"&amp;ROUND((DATE($AA$1,AM$2,$Z24)-$A$1)/7,0)-'1週目'!$P$2+$A$2)</f>
        <v/>
      </c>
      <c r="AO24" s="179" t="str">
        <f>IF(ROUND((DATE($AA$1,AO$2,$Z23)-$A$1)/7,0)=ROUND((DATE($AA$1,AO$2,$Z24)-$A$1)/7,0),"","P"&amp;ROUND((DATE($AA$1,AO$2,$Z24)-$A$1)/7,0)-'1週目'!$P$2+$A$2)</f>
        <v/>
      </c>
      <c r="AP24" s="140" t="str">
        <f>IF(ROUND((DATE($AA$1,AO$2,$Z25)-$A$1)/7,0)=ROUND((DATE($AA$1,AO$2,$Z24)-$A$1)/7,0),"","P"&amp;ROUND((DATE($AA$1,AO$2,$Z24)-$A$1)/7,0)-'1週目'!$P$2+$A$2)</f>
        <v>P36</v>
      </c>
      <c r="AQ24" s="179" t="str">
        <f>IF(ROUND((DATE($AA$1,AQ$2,$Z23)-$A$1)/7,0)=ROUND((DATE($AA$1,AQ$2,$Z24)-$A$1)/7,0),"","P"&amp;ROUND((DATE($AA$1,AQ$2,$Z24)-$A$1)/7,0)-'1週目'!$P$2+$A$2)</f>
        <v/>
      </c>
      <c r="AR24" s="140" t="str">
        <f>IF(ROUND((DATE($AA$1,AQ$2,$Z25)-$A$1)/7,0)=ROUND((DATE($AA$1,AQ$2,$Z24)-$A$1)/7,0),"","P"&amp;ROUND((DATE($AA$1,AQ$2,$Z24)-$A$1)/7,0)-'1週目'!$P$2+$A$2)</f>
        <v/>
      </c>
      <c r="AS24" s="179" t="str">
        <f>IF(ROUND((DATE($AA$1+1,AS$2,$Z23)-$A$1)/7,0)=ROUND((DATE($AA$1+1,AS$2,$Z24)-$A$1)/7,0),"","P"&amp;ROUND((DATE($AA$1+1,AS$2,$Z24)-$A$1)/7,0)-'1週目'!$P$2+$A$2)</f>
        <v/>
      </c>
      <c r="AT24" s="140" t="str">
        <f>IF(ROUND((DATE($AA$1+1,AS$2,$Z25)-$A$1)/7,0)=ROUND((DATE($AA$1+1,AS$2,$Z24)-$A$1)/7,0),"","P"&amp;ROUND((DATE($AA$1+1,AS$2,$Z24)-$A$1)/7,0)-'1週目'!$P$2+$A$2)</f>
        <v/>
      </c>
      <c r="AU24" s="179" t="str">
        <f>IF(ROUND((DATE($AA$1+1,AU$2,$Z23)-$A$1)/7,0)=ROUND((DATE($AA$1+1,AU$2,$Z24)-$A$1)/7,0),"","P"&amp;ROUND((DATE($AA$1+1,AU$2,$Z24)-$A$1)/7,0)-'1週目'!$P$2+$A$2)</f>
        <v>P50</v>
      </c>
      <c r="AV24" s="140" t="str">
        <f>IF(ROUND((DATE($AA$1+1,AU$2,$Z25)-$A$1)/7,0)=ROUND((DATE($AA$1+1,AU$2,$Z24)-$A$1)/7,0),"","P"&amp;ROUND((DATE($AA$1+1,AU$2,$Z24)-$A$1)/7,0)-'1週目'!$P$2+$A$2)</f>
        <v/>
      </c>
      <c r="AW24" s="179" t="str">
        <f>IF(ROUND((DATE($AA$1+1,AW$2,$Z23)-$A$1)/7,0)=ROUND((DATE($AA$1+1,AW$2,$Z24)-$A$1)/7,0),"","P"&amp;ROUND((DATE($AA$1+1,AW$2,$Z24)-$A$1)/7,0)-'1週目'!$P$2+$A$2)</f>
        <v>P54</v>
      </c>
      <c r="AX24" s="146" t="str">
        <f>IF(ROUND((DATE($AA$1+1,AW$2,$Z25)-$A$1)/7,0)=ROUND((DATE($AA$1+1,AW$2,$Z24)-$A$1)/7,0),"","P"&amp;ROUND((DATE($AA$1+1,AW$2,$Z24)-$A$1)/7,0)-'1週目'!$P$2+$A$2)</f>
        <v/>
      </c>
    </row>
    <row r="25" spans="2:50" s="128" customFormat="1" ht="39" customHeight="1"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Z25" s="128">
        <v>23</v>
      </c>
      <c r="AA25" s="177" t="str">
        <f>IF(ROUND((DATE($AA$1,AA$2,$Z24)-$A$1)/7,0)=ROUND((DATE($AA$1,AA$2,$Z25)-$A$1)/7,0),"","P"&amp;ROUND((DATE($AA$1,AA$2,$Z25)-$A$1)/7,0)-'1週目'!$P$2+$A$2)</f>
        <v/>
      </c>
      <c r="AB25" s="140" t="str">
        <f>IF(ROUND((DATE($AA$1,AA$2,$Z26)-$A$1)/7,0)=ROUND((DATE($AA$1,AA$2,$Z25)-$A$1)/7,0),"","P"&amp;ROUND((DATE($AA$1,AA$2,$Z25)-$A$1)/7,0)-'1週目'!$P$2+$A$2)</f>
        <v/>
      </c>
      <c r="AC25" s="179" t="str">
        <f>IF(ROUND((DATE($AA$1,AC$2,$Z24)-$A$1)/7,0)=ROUND((DATE($AA$1,AC$2,$Z25)-$A$1)/7,0),"","P"&amp;ROUND((DATE($AA$1,AC$2,$Z25)-$A$1)/7,0)-'1週目'!$P$2+$A$2)</f>
        <v/>
      </c>
      <c r="AD25" s="140" t="str">
        <f>IF(ROUND((DATE($AA$1,AC$2,$Z26)-$A$1)/7,0)=ROUND((DATE($AA$1,AC$2,$Z25)-$A$1)/7,0),"","P"&amp;ROUND((DATE($AA$1,AC$2,$Z25)-$A$1)/7,0)-'1週目'!$P$2+$A$2)</f>
        <v/>
      </c>
      <c r="AE25" s="179" t="str">
        <f>IF(ROUND((DATE($AA$1,AE$2,$Z24)-$A$1)/7,0)=ROUND((DATE($AA$1,AE$2,$Z25)-$A$1)/7,0),"","P"&amp;ROUND((DATE($AA$1,AE$2,$Z25)-$A$1)/7,0)-'1週目'!$P$2+$A$2)</f>
        <v/>
      </c>
      <c r="AF25" s="140" t="str">
        <f>IF(ROUND((DATE($AA$1,AE$2,$Z26)-$A$1)/7,0)=ROUND((DATE($AA$1,AE$2,$Z25)-$A$1)/7,0),"","P"&amp;ROUND((DATE($AA$1,AE$2,$Z25)-$A$1)/7,0)-'1週目'!$P$2+$A$2)</f>
        <v/>
      </c>
      <c r="AG25" s="179" t="str">
        <f>IF(ROUND((DATE($AA$1,AG$2,$Z24)-$A$1)/7,0)=ROUND((DATE($AA$1,AG$2,$Z25)-$A$1)/7,0),"","P"&amp;ROUND((DATE($AA$1,AG$2,$Z25)-$A$1)/7,0)-'1週目'!$P$2+$A$2)</f>
        <v/>
      </c>
      <c r="AH25" s="140" t="str">
        <f>IF(ROUND((DATE($AA$1,AG$2,$Z26)-$A$1)/7,0)=ROUND((DATE($AA$1,AG$2,$Z25)-$A$1)/7,0),"","P"&amp;ROUND((DATE($AA$1,AG$2,$Z25)-$A$1)/7,0)-'1週目'!$P$2+$A$2)</f>
        <v/>
      </c>
      <c r="AI25" s="179" t="str">
        <f>IF(ROUND((DATE($AA$1,AI$2,$Z24)-$A$1)/7,0)=ROUND((DATE($AA$1,AI$2,$Z25)-$A$1)/7,0),"","P"&amp;ROUND((DATE($AA$1,AI$2,$Z25)-$A$1)/7,0)-'1週目'!$P$2+$A$2)</f>
        <v/>
      </c>
      <c r="AJ25" s="140" t="str">
        <f>IF(ROUND((DATE($AA$1,AI$2,$Z26)-$A$1)/7,0)=ROUND((DATE($AA$1,AI$2,$Z25)-$A$1)/7,0),"","P"&amp;ROUND((DATE($AA$1,AI$2,$Z25)-$A$1)/7,0)-'1週目'!$P$2+$A$2)</f>
        <v>P23</v>
      </c>
      <c r="AK25" s="179" t="str">
        <f>IF(ROUND((DATE($AA$1,AK$2,$Z24)-$A$1)/7,0)=ROUND((DATE($AA$1,AK$2,$Z25)-$A$1)/7,0),"","P"&amp;ROUND((DATE($AA$1,AK$2,$Z25)-$A$1)/7,0)-'1週目'!$P$2+$A$2)</f>
        <v/>
      </c>
      <c r="AL25" s="140" t="str">
        <f>IF(ROUND((DATE($AA$1,AK$2,$Z26)-$A$1)/7,0)=ROUND((DATE($AA$1,AK$2,$Z25)-$A$1)/7,0),"","P"&amp;ROUND((DATE($AA$1,AK$2,$Z25)-$A$1)/7,0)-'1週目'!$P$2+$A$2)</f>
        <v/>
      </c>
      <c r="AM25" s="179" t="str">
        <f>IF(ROUND((DATE($AA$1,AM$2,$Z24)-$A$1)/7,0)=ROUND((DATE($AA$1,AM$2,$Z25)-$A$1)/7,0),"","P"&amp;ROUND((DATE($AA$1,AM$2,$Z25)-$A$1)/7,0)-'1週目'!$P$2+$A$2)</f>
        <v/>
      </c>
      <c r="AN25" s="140" t="str">
        <f>IF(ROUND((DATE($AA$1,AM$2,$Z26)-$A$1)/7,0)=ROUND((DATE($AA$1,AM$2,$Z25)-$A$1)/7,0),"","P"&amp;ROUND((DATE($AA$1,AM$2,$Z25)-$A$1)/7,0)-'1週目'!$P$2+$A$2)</f>
        <v/>
      </c>
      <c r="AO25" s="179" t="str">
        <f>IF(ROUND((DATE($AA$1,AO$2,$Z24)-$A$1)/7,0)=ROUND((DATE($AA$1,AO$2,$Z25)-$A$1)/7,0),"","P"&amp;ROUND((DATE($AA$1,AO$2,$Z25)-$A$1)/7,0)-'1週目'!$P$2+$A$2)</f>
        <v>P37</v>
      </c>
      <c r="AP25" s="140" t="str">
        <f>IF(ROUND((DATE($AA$1,AO$2,$Z26)-$A$1)/7,0)=ROUND((DATE($AA$1,AO$2,$Z25)-$A$1)/7,0),"","P"&amp;ROUND((DATE($AA$1,AO$2,$Z25)-$A$1)/7,0)-'1週目'!$P$2+$A$2)</f>
        <v/>
      </c>
      <c r="AQ25" s="179" t="str">
        <f>IF(ROUND((DATE($AA$1,AQ$2,$Z24)-$A$1)/7,0)=ROUND((DATE($AA$1,AQ$2,$Z25)-$A$1)/7,0),"","P"&amp;ROUND((DATE($AA$1,AQ$2,$Z25)-$A$1)/7,0)-'1週目'!$P$2+$A$2)</f>
        <v/>
      </c>
      <c r="AR25" s="140" t="str">
        <f>IF(ROUND((DATE($AA$1,AQ$2,$Z26)-$A$1)/7,0)=ROUND((DATE($AA$1,AQ$2,$Z25)-$A$1)/7,0),"","P"&amp;ROUND((DATE($AA$1,AQ$2,$Z25)-$A$1)/7,0)-'1週目'!$P$2+$A$2)</f>
        <v/>
      </c>
      <c r="AS25" s="179" t="str">
        <f>IF(ROUND((DATE($AA$1+1,AS$2,$Z24)-$A$1)/7,0)=ROUND((DATE($AA$1+1,AS$2,$Z25)-$A$1)/7,0),"","P"&amp;ROUND((DATE($AA$1+1,AS$2,$Z25)-$A$1)/7,0)-'1週目'!$P$2+$A$2)</f>
        <v/>
      </c>
      <c r="AT25" s="140" t="str">
        <f>IF(ROUND((DATE($AA$1+1,AS$2,$Z26)-$A$1)/7,0)=ROUND((DATE($AA$1+1,AS$2,$Z25)-$A$1)/7,0),"","P"&amp;ROUND((DATE($AA$1+1,AS$2,$Z25)-$A$1)/7,0)-'1週目'!$P$2+$A$2)</f>
        <v/>
      </c>
      <c r="AU25" s="179" t="str">
        <f>IF(ROUND((DATE($AA$1+1,AU$2,$Z24)-$A$1)/7,0)=ROUND((DATE($AA$1+1,AU$2,$Z25)-$A$1)/7,0),"","P"&amp;ROUND((DATE($AA$1+1,AU$2,$Z25)-$A$1)/7,0)-'1週目'!$P$2+$A$2)</f>
        <v/>
      </c>
      <c r="AV25" s="140" t="str">
        <f>IF(ROUND((DATE($AA$1+1,AU$2,$Z26)-$A$1)/7,0)=ROUND((DATE($AA$1+1,AU$2,$Z25)-$A$1)/7,0),"","P"&amp;ROUND((DATE($AA$1+1,AU$2,$Z25)-$A$1)/7,0)-'1週目'!$P$2+$A$2)</f>
        <v/>
      </c>
      <c r="AW25" s="179" t="str">
        <f>IF(ROUND((DATE($AA$1+1,AW$2,$Z24)-$A$1)/7,0)=ROUND((DATE($AA$1+1,AW$2,$Z25)-$A$1)/7,0),"","P"&amp;ROUND((DATE($AA$1+1,AW$2,$Z25)-$A$1)/7,0)-'1週目'!$P$2+$A$2)</f>
        <v/>
      </c>
      <c r="AX25" s="146" t="str">
        <f>IF(ROUND((DATE($AA$1+1,AW$2,$Z26)-$A$1)/7,0)=ROUND((DATE($AA$1+1,AW$2,$Z25)-$A$1)/7,0),"","P"&amp;ROUND((DATE($AA$1+1,AW$2,$Z25)-$A$1)/7,0)-'1週目'!$P$2+$A$2)</f>
        <v/>
      </c>
    </row>
    <row r="26" spans="2:50" s="128" customFormat="1" ht="39" customHeight="1"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Z26" s="128">
        <v>24</v>
      </c>
      <c r="AA26" s="177" t="str">
        <f>IF(ROUND((DATE($AA$1,AA$2,$Z25)-$A$1)/7,0)=ROUND((DATE($AA$1,AA$2,$Z26)-$A$1)/7,0),"","P"&amp;ROUND((DATE($AA$1,AA$2,$Z26)-$A$1)/7,0)-'1週目'!$P$2+$A$2)</f>
        <v/>
      </c>
      <c r="AB26" s="140" t="str">
        <f>IF(ROUND((DATE($AA$1,AA$2,$Z27)-$A$1)/7,0)=ROUND((DATE($AA$1,AA$2,$Z26)-$A$1)/7,0),"","P"&amp;ROUND((DATE($AA$1,AA$2,$Z26)-$A$1)/7,0)-'1週目'!$P$2+$A$2)</f>
        <v/>
      </c>
      <c r="AC26" s="179" t="str">
        <f>IF(ROUND((DATE($AA$1,AC$2,$Z25)-$A$1)/7,0)=ROUND((DATE($AA$1,AC$2,$Z26)-$A$1)/7,0),"","P"&amp;ROUND((DATE($AA$1,AC$2,$Z26)-$A$1)/7,0)-'1週目'!$P$2+$A$2)</f>
        <v/>
      </c>
      <c r="AD26" s="140" t="str">
        <f>IF(ROUND((DATE($AA$1,AC$2,$Z27)-$A$1)/7,0)=ROUND((DATE($AA$1,AC$2,$Z26)-$A$1)/7,0),"","P"&amp;ROUND((DATE($AA$1,AC$2,$Z26)-$A$1)/7,0)-'1週目'!$P$2+$A$2)</f>
        <v>P10</v>
      </c>
      <c r="AE26" s="179" t="str">
        <f>IF(ROUND((DATE($AA$1,AE$2,$Z25)-$A$1)/7,0)=ROUND((DATE($AA$1,AE$2,$Z26)-$A$1)/7,0),"","P"&amp;ROUND((DATE($AA$1,AE$2,$Z26)-$A$1)/7,0)-'1週目'!$P$2+$A$2)</f>
        <v/>
      </c>
      <c r="AF26" s="140" t="str">
        <f>IF(ROUND((DATE($AA$1,AE$2,$Z27)-$A$1)/7,0)=ROUND((DATE($AA$1,AE$2,$Z26)-$A$1)/7,0),"","P"&amp;ROUND((DATE($AA$1,AE$2,$Z26)-$A$1)/7,0)-'1週目'!$P$2+$A$2)</f>
        <v/>
      </c>
      <c r="AG26" s="179" t="str">
        <f>IF(ROUND((DATE($AA$1,AG$2,$Z25)-$A$1)/7,0)=ROUND((DATE($AA$1,AG$2,$Z26)-$A$1)/7,0),"","P"&amp;ROUND((DATE($AA$1,AG$2,$Z26)-$A$1)/7,0)-'1週目'!$P$2+$A$2)</f>
        <v/>
      </c>
      <c r="AH26" s="140" t="str">
        <f>IF(ROUND((DATE($AA$1,AG$2,$Z27)-$A$1)/7,0)=ROUND((DATE($AA$1,AG$2,$Z26)-$A$1)/7,0),"","P"&amp;ROUND((DATE($AA$1,AG$2,$Z26)-$A$1)/7,0)-'1週目'!$P$2+$A$2)</f>
        <v/>
      </c>
      <c r="AI26" s="179" t="str">
        <f>IF(ROUND((DATE($AA$1,AI$2,$Z25)-$A$1)/7,0)=ROUND((DATE($AA$1,AI$2,$Z26)-$A$1)/7,0),"","P"&amp;ROUND((DATE($AA$1,AI$2,$Z26)-$A$1)/7,0)-'1週目'!$P$2+$A$2)</f>
        <v>P24</v>
      </c>
      <c r="AJ26" s="140" t="str">
        <f>IF(ROUND((DATE($AA$1,AI$2,$Z27)-$A$1)/7,0)=ROUND((DATE($AA$1,AI$2,$Z26)-$A$1)/7,0),"","P"&amp;ROUND((DATE($AA$1,AI$2,$Z26)-$A$1)/7,0)-'1週目'!$P$2+$A$2)</f>
        <v/>
      </c>
      <c r="AK26" s="179" t="str">
        <f>IF(ROUND((DATE($AA$1,AK$2,$Z25)-$A$1)/7,0)=ROUND((DATE($AA$1,AK$2,$Z26)-$A$1)/7,0),"","P"&amp;ROUND((DATE($AA$1,AK$2,$Z26)-$A$1)/7,0)-'1週目'!$P$2+$A$2)</f>
        <v/>
      </c>
      <c r="AL26" s="140" t="str">
        <f>IF(ROUND((DATE($AA$1,AK$2,$Z27)-$A$1)/7,0)=ROUND((DATE($AA$1,AK$2,$Z26)-$A$1)/7,0),"","P"&amp;ROUND((DATE($AA$1,AK$2,$Z26)-$A$1)/7,0)-'1週目'!$P$2+$A$2)</f>
        <v/>
      </c>
      <c r="AM26" s="179" t="str">
        <f>IF(ROUND((DATE($AA$1,AM$2,$Z25)-$A$1)/7,0)=ROUND((DATE($AA$1,AM$2,$Z26)-$A$1)/7,0),"","P"&amp;ROUND((DATE($AA$1,AM$2,$Z26)-$A$1)/7,0)-'1週目'!$P$2+$A$2)</f>
        <v/>
      </c>
      <c r="AN26" s="140" t="str">
        <f>IF(ROUND((DATE($AA$1,AM$2,$Z27)-$A$1)/7,0)=ROUND((DATE($AA$1,AM$2,$Z26)-$A$1)/7,0),"","P"&amp;ROUND((DATE($AA$1,AM$2,$Z26)-$A$1)/7,0)-'1週目'!$P$2+$A$2)</f>
        <v/>
      </c>
      <c r="AO26" s="179" t="str">
        <f>IF(ROUND((DATE($AA$1,AO$2,$Z25)-$A$1)/7,0)=ROUND((DATE($AA$1,AO$2,$Z26)-$A$1)/7,0),"","P"&amp;ROUND((DATE($AA$1,AO$2,$Z26)-$A$1)/7,0)-'1週目'!$P$2+$A$2)</f>
        <v/>
      </c>
      <c r="AP26" s="140" t="str">
        <f>IF(ROUND((DATE($AA$1,AO$2,$Z27)-$A$1)/7,0)=ROUND((DATE($AA$1,AO$2,$Z26)-$A$1)/7,0),"","P"&amp;ROUND((DATE($AA$1,AO$2,$Z26)-$A$1)/7,0)-'1週目'!$P$2+$A$2)</f>
        <v/>
      </c>
      <c r="AQ26" s="179" t="str">
        <f>IF(ROUND((DATE($AA$1,AQ$2,$Z25)-$A$1)/7,0)=ROUND((DATE($AA$1,AQ$2,$Z26)-$A$1)/7,0),"","P"&amp;ROUND((DATE($AA$1,AQ$2,$Z26)-$A$1)/7,0)-'1週目'!$P$2+$A$2)</f>
        <v/>
      </c>
      <c r="AR26" s="140" t="str">
        <f>IF(ROUND((DATE($AA$1,AQ$2,$Z27)-$A$1)/7,0)=ROUND((DATE($AA$1,AQ$2,$Z26)-$A$1)/7,0),"","P"&amp;ROUND((DATE($AA$1,AQ$2,$Z26)-$A$1)/7,0)-'1週目'!$P$2+$A$2)</f>
        <v/>
      </c>
      <c r="AS26" s="179" t="str">
        <f>IF(ROUND((DATE($AA$1+1,AS$2,$Z25)-$A$1)/7,0)=ROUND((DATE($AA$1+1,AS$2,$Z26)-$A$1)/7,0),"","P"&amp;ROUND((DATE($AA$1+1,AS$2,$Z26)-$A$1)/7,0)-'1週目'!$P$2+$A$2)</f>
        <v/>
      </c>
      <c r="AT26" s="140" t="str">
        <f>IF(ROUND((DATE($AA$1+1,AS$2,$Z27)-$A$1)/7,0)=ROUND((DATE($AA$1+1,AS$2,$Z26)-$A$1)/7,0),"","P"&amp;ROUND((DATE($AA$1+1,AS$2,$Z26)-$A$1)/7,0)-'1週目'!$P$2+$A$2)</f>
        <v>P45</v>
      </c>
      <c r="AU26" s="179" t="str">
        <f>IF(ROUND((DATE($AA$1+1,AU$2,$Z25)-$A$1)/7,0)=ROUND((DATE($AA$1+1,AU$2,$Z26)-$A$1)/7,0),"","P"&amp;ROUND((DATE($AA$1+1,AU$2,$Z26)-$A$1)/7,0)-'1週目'!$P$2+$A$2)</f>
        <v/>
      </c>
      <c r="AV26" s="140" t="str">
        <f>IF(ROUND((DATE($AA$1+1,AU$2,$Z27)-$A$1)/7,0)=ROUND((DATE($AA$1+1,AU$2,$Z26)-$A$1)/7,0),"","P"&amp;ROUND((DATE($AA$1+1,AU$2,$Z26)-$A$1)/7,0)-'1週目'!$P$2+$A$2)</f>
        <v/>
      </c>
      <c r="AW26" s="179" t="str">
        <f>IF(ROUND((DATE($AA$1+1,AW$2,$Z25)-$A$1)/7,0)=ROUND((DATE($AA$1+1,AW$2,$Z26)-$A$1)/7,0),"","P"&amp;ROUND((DATE($AA$1+1,AW$2,$Z26)-$A$1)/7,0)-'1週目'!$P$2+$A$2)</f>
        <v/>
      </c>
      <c r="AX26" s="146" t="str">
        <f>IF(ROUND((DATE($AA$1+1,AW$2,$Z27)-$A$1)/7,0)=ROUND((DATE($AA$1+1,AW$2,$Z26)-$A$1)/7,0),"","P"&amp;ROUND((DATE($AA$1+1,AW$2,$Z26)-$A$1)/7,0)-'1週目'!$P$2+$A$2)</f>
        <v/>
      </c>
    </row>
    <row r="27" spans="2:50" s="128" customFormat="1" ht="39" customHeight="1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Z27" s="128">
        <v>25</v>
      </c>
      <c r="AA27" s="177" t="str">
        <f>IF(ROUND((DATE($AA$1,AA$2,$Z26)-$A$1)/7,0)=ROUND((DATE($AA$1,AA$2,$Z27)-$A$1)/7,0),"","P"&amp;ROUND((DATE($AA$1,AA$2,$Z27)-$A$1)/7,0)-'1週目'!$P$2+$A$2)</f>
        <v/>
      </c>
      <c r="AB27" s="140" t="str">
        <f>IF(ROUND((DATE($AA$1,AA$2,$Z28)-$A$1)/7,0)=ROUND((DATE($AA$1,AA$2,$Z27)-$A$1)/7,0),"","P"&amp;ROUND((DATE($AA$1,AA$2,$Z27)-$A$1)/7,0)-'1週目'!$P$2+$A$2)</f>
        <v/>
      </c>
      <c r="AC27" s="179" t="str">
        <f>IF(ROUND((DATE($AA$1,AC$2,$Z26)-$A$1)/7,0)=ROUND((DATE($AA$1,AC$2,$Z27)-$A$1)/7,0),"","P"&amp;ROUND((DATE($AA$1,AC$2,$Z27)-$A$1)/7,0)-'1週目'!$P$2+$A$2)</f>
        <v>P11</v>
      </c>
      <c r="AD27" s="140" t="str">
        <f>IF(ROUND((DATE($AA$1,AC$2,$Z28)-$A$1)/7,0)=ROUND((DATE($AA$1,AC$2,$Z27)-$A$1)/7,0),"","P"&amp;ROUND((DATE($AA$1,AC$2,$Z27)-$A$1)/7,0)-'1週目'!$P$2+$A$2)</f>
        <v/>
      </c>
      <c r="AE27" s="179" t="str">
        <f>IF(ROUND((DATE($AA$1,AE$2,$Z26)-$A$1)/7,0)=ROUND((DATE($AA$1,AE$2,$Z27)-$A$1)/7,0),"","P"&amp;ROUND((DATE($AA$1,AE$2,$Z27)-$A$1)/7,0)-'1週目'!$P$2+$A$2)</f>
        <v/>
      </c>
      <c r="AF27" s="140" t="str">
        <f>IF(ROUND((DATE($AA$1,AE$2,$Z28)-$A$1)/7,0)=ROUND((DATE($AA$1,AE$2,$Z27)-$A$1)/7,0),"","P"&amp;ROUND((DATE($AA$1,AE$2,$Z27)-$A$1)/7,0)-'1週目'!$P$2+$A$2)</f>
        <v/>
      </c>
      <c r="AG27" s="179" t="str">
        <f>IF(ROUND((DATE($AA$1,AG$2,$Z26)-$A$1)/7,0)=ROUND((DATE($AA$1,AG$2,$Z27)-$A$1)/7,0),"","P"&amp;ROUND((DATE($AA$1,AG$2,$Z27)-$A$1)/7,0)-'1週目'!$P$2+$A$2)</f>
        <v/>
      </c>
      <c r="AH27" s="140" t="str">
        <f>IF(ROUND((DATE($AA$1,AG$2,$Z28)-$A$1)/7,0)=ROUND((DATE($AA$1,AG$2,$Z27)-$A$1)/7,0),"","P"&amp;ROUND((DATE($AA$1,AG$2,$Z27)-$A$1)/7,0)-'1週目'!$P$2+$A$2)</f>
        <v/>
      </c>
      <c r="AI27" s="179" t="str">
        <f>IF(ROUND((DATE($AA$1,AI$2,$Z26)-$A$1)/7,0)=ROUND((DATE($AA$1,AI$2,$Z27)-$A$1)/7,0),"","P"&amp;ROUND((DATE($AA$1,AI$2,$Z27)-$A$1)/7,0)-'1週目'!$P$2+$A$2)</f>
        <v/>
      </c>
      <c r="AJ27" s="140" t="str">
        <f>IF(ROUND((DATE($AA$1,AI$2,$Z28)-$A$1)/7,0)=ROUND((DATE($AA$1,AI$2,$Z27)-$A$1)/7,0),"","P"&amp;ROUND((DATE($AA$1,AI$2,$Z27)-$A$1)/7,0)-'1週目'!$P$2+$A$2)</f>
        <v/>
      </c>
      <c r="AK27" s="179" t="str">
        <f>IF(ROUND((DATE($AA$1,AK$2,$Z26)-$A$1)/7,0)=ROUND((DATE($AA$1,AK$2,$Z27)-$A$1)/7,0),"","P"&amp;ROUND((DATE($AA$1,AK$2,$Z27)-$A$1)/7,0)-'1週目'!$P$2+$A$2)</f>
        <v/>
      </c>
      <c r="AL27" s="140" t="str">
        <f>IF(ROUND((DATE($AA$1,AK$2,$Z28)-$A$1)/7,0)=ROUND((DATE($AA$1,AK$2,$Z27)-$A$1)/7,0),"","P"&amp;ROUND((DATE($AA$1,AK$2,$Z27)-$A$1)/7,0)-'1週目'!$P$2+$A$2)</f>
        <v/>
      </c>
      <c r="AM27" s="179" t="str">
        <f>IF(ROUND((DATE($AA$1,AM$2,$Z26)-$A$1)/7,0)=ROUND((DATE($AA$1,AM$2,$Z27)-$A$1)/7,0),"","P"&amp;ROUND((DATE($AA$1,AM$2,$Z27)-$A$1)/7,0)-'1週目'!$P$2+$A$2)</f>
        <v/>
      </c>
      <c r="AN27" s="140" t="str">
        <f>IF(ROUND((DATE($AA$1,AM$2,$Z28)-$A$1)/7,0)=ROUND((DATE($AA$1,AM$2,$Z27)-$A$1)/7,0),"","P"&amp;ROUND((DATE($AA$1,AM$2,$Z27)-$A$1)/7,0)-'1週目'!$P$2+$A$2)</f>
        <v>P32</v>
      </c>
      <c r="AO27" s="179" t="str">
        <f>IF(ROUND((DATE($AA$1,AO$2,$Z26)-$A$1)/7,0)=ROUND((DATE($AA$1,AO$2,$Z27)-$A$1)/7,0),"","P"&amp;ROUND((DATE($AA$1,AO$2,$Z27)-$A$1)/7,0)-'1週目'!$P$2+$A$2)</f>
        <v/>
      </c>
      <c r="AP27" s="140" t="str">
        <f>IF(ROUND((DATE($AA$1,AO$2,$Z28)-$A$1)/7,0)=ROUND((DATE($AA$1,AO$2,$Z27)-$A$1)/7,0),"","P"&amp;ROUND((DATE($AA$1,AO$2,$Z27)-$A$1)/7,0)-'1週目'!$P$2+$A$2)</f>
        <v/>
      </c>
      <c r="AQ27" s="179" t="str">
        <f>IF(ROUND((DATE($AA$1,AQ$2,$Z26)-$A$1)/7,0)=ROUND((DATE($AA$1,AQ$2,$Z27)-$A$1)/7,0),"","P"&amp;ROUND((DATE($AA$1,AQ$2,$Z27)-$A$1)/7,0)-'1週目'!$P$2+$A$2)</f>
        <v/>
      </c>
      <c r="AR27" s="140" t="str">
        <f>IF(ROUND((DATE($AA$1,AQ$2,$Z28)-$A$1)/7,0)=ROUND((DATE($AA$1,AQ$2,$Z27)-$A$1)/7,0),"","P"&amp;ROUND((DATE($AA$1,AQ$2,$Z27)-$A$1)/7,0)-'1週目'!$P$2+$A$2)</f>
        <v/>
      </c>
      <c r="AS27" s="179" t="str">
        <f>IF(ROUND((DATE($AA$1+1,AS$2,$Z26)-$A$1)/7,0)=ROUND((DATE($AA$1+1,AS$2,$Z27)-$A$1)/7,0),"","P"&amp;ROUND((DATE($AA$1+1,AS$2,$Z27)-$A$1)/7,0)-'1週目'!$P$2+$A$2)</f>
        <v>P46</v>
      </c>
      <c r="AT27" s="140" t="str">
        <f>IF(ROUND((DATE($AA$1+1,AS$2,$Z28)-$A$1)/7,0)=ROUND((DATE($AA$1+1,AS$2,$Z27)-$A$1)/7,0),"","P"&amp;ROUND((DATE($AA$1+1,AS$2,$Z27)-$A$1)/7,0)-'1週目'!$P$2+$A$2)</f>
        <v/>
      </c>
      <c r="AU27" s="179" t="str">
        <f>IF(ROUND((DATE($AA$1+1,AU$2,$Z26)-$A$1)/7,0)=ROUND((DATE($AA$1+1,AU$2,$Z27)-$A$1)/7,0),"","P"&amp;ROUND((DATE($AA$1+1,AU$2,$Z27)-$A$1)/7,0)-'1週目'!$P$2+$A$2)</f>
        <v/>
      </c>
      <c r="AV27" s="140" t="str">
        <f>IF(ROUND((DATE($AA$1+1,AU$2,$Z28)-$A$1)/7,0)=ROUND((DATE($AA$1+1,AU$2,$Z27)-$A$1)/7,0),"","P"&amp;ROUND((DATE($AA$1+1,AU$2,$Z27)-$A$1)/7,0)-'1週目'!$P$2+$A$2)</f>
        <v/>
      </c>
      <c r="AW27" s="179" t="str">
        <f>IF(ROUND((DATE($AA$1+1,AW$2,$Z26)-$A$1)/7,0)=ROUND((DATE($AA$1+1,AW$2,$Z27)-$A$1)/7,0),"","P"&amp;ROUND((DATE($AA$1+1,AW$2,$Z27)-$A$1)/7,0)-'1週目'!$P$2+$A$2)</f>
        <v/>
      </c>
      <c r="AX27" s="146" t="str">
        <f>IF(ROUND((DATE($AA$1+1,AW$2,$Z28)-$A$1)/7,0)=ROUND((DATE($AA$1+1,AW$2,$Z27)-$A$1)/7,0),"","P"&amp;ROUND((DATE($AA$1+1,AW$2,$Z27)-$A$1)/7,0)-'1週目'!$P$2+$A$2)</f>
        <v/>
      </c>
    </row>
    <row r="28" spans="2:50" s="128" customFormat="1" ht="39" customHeight="1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Z28" s="128">
        <v>26</v>
      </c>
      <c r="AA28" s="177" t="str">
        <f>IF(ROUND((DATE($AA$1,AA$2,$Z27)-$A$1)/7,0)=ROUND((DATE($AA$1,AA$2,$Z28)-$A$1)/7,0),"","P"&amp;ROUND((DATE($AA$1,AA$2,$Z28)-$A$1)/7,0)-'1週目'!$P$2+$A$2)</f>
        <v/>
      </c>
      <c r="AB28" s="140" t="str">
        <f>IF(ROUND((DATE($AA$1,AA$2,$Z29)-$A$1)/7,0)=ROUND((DATE($AA$1,AA$2,$Z28)-$A$1)/7,0),"","P"&amp;ROUND((DATE($AA$1,AA$2,$Z28)-$A$1)/7,0)-'1週目'!$P$2+$A$2)</f>
        <v>P6</v>
      </c>
      <c r="AC28" s="179" t="str">
        <f>IF(ROUND((DATE($AA$1,AC$2,$Z27)-$A$1)/7,0)=ROUND((DATE($AA$1,AC$2,$Z28)-$A$1)/7,0),"","P"&amp;ROUND((DATE($AA$1,AC$2,$Z28)-$A$1)/7,0)-'1週目'!$P$2+$A$2)</f>
        <v/>
      </c>
      <c r="AD28" s="140" t="str">
        <f>IF(ROUND((DATE($AA$1,AC$2,$Z29)-$A$1)/7,0)=ROUND((DATE($AA$1,AC$2,$Z28)-$A$1)/7,0),"","P"&amp;ROUND((DATE($AA$1,AC$2,$Z28)-$A$1)/7,0)-'1週目'!$P$2+$A$2)</f>
        <v/>
      </c>
      <c r="AE28" s="179" t="str">
        <f>IF(ROUND((DATE($AA$1,AE$2,$Z27)-$A$1)/7,0)=ROUND((DATE($AA$1,AE$2,$Z28)-$A$1)/7,0),"","P"&amp;ROUND((DATE($AA$1,AE$2,$Z28)-$A$1)/7,0)-'1週目'!$P$2+$A$2)</f>
        <v/>
      </c>
      <c r="AF28" s="140" t="str">
        <f>IF(ROUND((DATE($AA$1,AE$2,$Z29)-$A$1)/7,0)=ROUND((DATE($AA$1,AE$2,$Z28)-$A$1)/7,0),"","P"&amp;ROUND((DATE($AA$1,AE$2,$Z28)-$A$1)/7,0)-'1週目'!$P$2+$A$2)</f>
        <v/>
      </c>
      <c r="AG28" s="179" t="str">
        <f>IF(ROUND((DATE($AA$1,AG$2,$Z27)-$A$1)/7,0)=ROUND((DATE($AA$1,AG$2,$Z28)-$A$1)/7,0),"","P"&amp;ROUND((DATE($AA$1,AG$2,$Z28)-$A$1)/7,0)-'1週目'!$P$2+$A$2)</f>
        <v/>
      </c>
      <c r="AH28" s="140" t="str">
        <f>IF(ROUND((DATE($AA$1,AG$2,$Z29)-$A$1)/7,0)=ROUND((DATE($AA$1,AG$2,$Z28)-$A$1)/7,0),"","P"&amp;ROUND((DATE($AA$1,AG$2,$Z28)-$A$1)/7,0)-'1週目'!$P$2+$A$2)</f>
        <v>P19</v>
      </c>
      <c r="AI28" s="179" t="str">
        <f>IF(ROUND((DATE($AA$1,AI$2,$Z27)-$A$1)/7,0)=ROUND((DATE($AA$1,AI$2,$Z28)-$A$1)/7,0),"","P"&amp;ROUND((DATE($AA$1,AI$2,$Z28)-$A$1)/7,0)-'1週目'!$P$2+$A$2)</f>
        <v/>
      </c>
      <c r="AJ28" s="140" t="str">
        <f>IF(ROUND((DATE($AA$1,AI$2,$Z29)-$A$1)/7,0)=ROUND((DATE($AA$1,AI$2,$Z28)-$A$1)/7,0),"","P"&amp;ROUND((DATE($AA$1,AI$2,$Z28)-$A$1)/7,0)-'1週目'!$P$2+$A$2)</f>
        <v/>
      </c>
      <c r="AK28" s="179" t="str">
        <f>IF(ROUND((DATE($AA$1,AK$2,$Z27)-$A$1)/7,0)=ROUND((DATE($AA$1,AK$2,$Z28)-$A$1)/7,0),"","P"&amp;ROUND((DATE($AA$1,AK$2,$Z28)-$A$1)/7,0)-'1週目'!$P$2+$A$2)</f>
        <v/>
      </c>
      <c r="AL28" s="140" t="str">
        <f>IF(ROUND((DATE($AA$1,AK$2,$Z29)-$A$1)/7,0)=ROUND((DATE($AA$1,AK$2,$Z28)-$A$1)/7,0),"","P"&amp;ROUND((DATE($AA$1,AK$2,$Z28)-$A$1)/7,0)-'1週目'!$P$2+$A$2)</f>
        <v/>
      </c>
      <c r="AM28" s="179" t="str">
        <f>IF(ROUND((DATE($AA$1,AM$2,$Z27)-$A$1)/7,0)=ROUND((DATE($AA$1,AM$2,$Z28)-$A$1)/7,0),"","P"&amp;ROUND((DATE($AA$1,AM$2,$Z28)-$A$1)/7,0)-'1週目'!$P$2+$A$2)</f>
        <v>P33</v>
      </c>
      <c r="AN28" s="140" t="str">
        <f>IF(ROUND((DATE($AA$1,AM$2,$Z29)-$A$1)/7,0)=ROUND((DATE($AA$1,AM$2,$Z28)-$A$1)/7,0),"","P"&amp;ROUND((DATE($AA$1,AM$2,$Z28)-$A$1)/7,0)-'1週目'!$P$2+$A$2)</f>
        <v/>
      </c>
      <c r="AO28" s="179" t="str">
        <f>IF(ROUND((DATE($AA$1,AO$2,$Z27)-$A$1)/7,0)=ROUND((DATE($AA$1,AO$2,$Z28)-$A$1)/7,0),"","P"&amp;ROUND((DATE($AA$1,AO$2,$Z28)-$A$1)/7,0)-'1週目'!$P$2+$A$2)</f>
        <v/>
      </c>
      <c r="AP28" s="140" t="str">
        <f>IF(ROUND((DATE($AA$1,AO$2,$Z29)-$A$1)/7,0)=ROUND((DATE($AA$1,AO$2,$Z28)-$A$1)/7,0),"","P"&amp;ROUND((DATE($AA$1,AO$2,$Z28)-$A$1)/7,0)-'1週目'!$P$2+$A$2)</f>
        <v/>
      </c>
      <c r="AQ28" s="179" t="str">
        <f>IF(ROUND((DATE($AA$1,AQ$2,$Z27)-$A$1)/7,0)=ROUND((DATE($AA$1,AQ$2,$Z28)-$A$1)/7,0),"","P"&amp;ROUND((DATE($AA$1,AQ$2,$Z28)-$A$1)/7,0)-'1週目'!$P$2+$A$2)</f>
        <v/>
      </c>
      <c r="AR28" s="140" t="str">
        <f>IF(ROUND((DATE($AA$1,AQ$2,$Z29)-$A$1)/7,0)=ROUND((DATE($AA$1,AQ$2,$Z28)-$A$1)/7,0),"","P"&amp;ROUND((DATE($AA$1,AQ$2,$Z28)-$A$1)/7,0)-'1週目'!$P$2+$A$2)</f>
        <v/>
      </c>
      <c r="AS28" s="179" t="str">
        <f>IF(ROUND((DATE($AA$1+1,AS$2,$Z27)-$A$1)/7,0)=ROUND((DATE($AA$1+1,AS$2,$Z28)-$A$1)/7,0),"","P"&amp;ROUND((DATE($AA$1+1,AS$2,$Z28)-$A$1)/7,0)-'1週目'!$P$2+$A$2)</f>
        <v/>
      </c>
      <c r="AT28" s="140" t="str">
        <f>IF(ROUND((DATE($AA$1+1,AS$2,$Z29)-$A$1)/7,0)=ROUND((DATE($AA$1+1,AS$2,$Z28)-$A$1)/7,0),"","P"&amp;ROUND((DATE($AA$1+1,AS$2,$Z28)-$A$1)/7,0)-'1週目'!$P$2+$A$2)</f>
        <v/>
      </c>
      <c r="AU28" s="179" t="str">
        <f>IF(ROUND((DATE($AA$1+1,AU$2,$Z27)-$A$1)/7,0)=ROUND((DATE($AA$1+1,AU$2,$Z28)-$A$1)/7,0),"","P"&amp;ROUND((DATE($AA$1+1,AU$2,$Z28)-$A$1)/7,0)-'1週目'!$P$2+$A$2)</f>
        <v/>
      </c>
      <c r="AV28" s="140" t="str">
        <f>IF(ROUND((DATE($AA$1+1,AU$2,$Z29)-$A$1)/7,0)=ROUND((DATE($AA$1+1,AU$2,$Z28)-$A$1)/7,0),"","P"&amp;ROUND((DATE($AA$1+1,AU$2,$Z28)-$A$1)/7,0)-'1週目'!$P$2+$A$2)</f>
        <v/>
      </c>
      <c r="AW28" s="179" t="str">
        <f>IF(ROUND((DATE($AA$1+1,AW$2,$Z27)-$A$1)/7,0)=ROUND((DATE($AA$1+1,AW$2,$Z28)-$A$1)/7,0),"","P"&amp;ROUND((DATE($AA$1+1,AW$2,$Z28)-$A$1)/7,0)-'1週目'!$P$2+$A$2)</f>
        <v/>
      </c>
      <c r="AX28" s="146" t="str">
        <f>IF(ROUND((DATE($AA$1+1,AW$2,$Z29)-$A$1)/7,0)=ROUND((DATE($AA$1+1,AW$2,$Z28)-$A$1)/7,0),"","P"&amp;ROUND((DATE($AA$1+1,AW$2,$Z28)-$A$1)/7,0)-'1週目'!$P$2+$A$2)</f>
        <v/>
      </c>
    </row>
    <row r="29" spans="2:50" s="128" customFormat="1" ht="39" customHeight="1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Z29" s="128">
        <v>27</v>
      </c>
      <c r="AA29" s="177" t="str">
        <f>IF(ROUND((DATE($AA$1,AA$2,$Z28)-$A$1)/7,0)=ROUND((DATE($AA$1,AA$2,$Z29)-$A$1)/7,0),"","P"&amp;ROUND((DATE($AA$1,AA$2,$Z29)-$A$1)/7,0)-'1週目'!$P$2+$A$2)</f>
        <v>P7</v>
      </c>
      <c r="AB29" s="140" t="str">
        <f>IF(ROUND((DATE($AA$1,AA$2,$Z30)-$A$1)/7,0)=ROUND((DATE($AA$1,AA$2,$Z29)-$A$1)/7,0),"","P"&amp;ROUND((DATE($AA$1,AA$2,$Z29)-$A$1)/7,0)-'1週目'!$P$2+$A$2)</f>
        <v/>
      </c>
      <c r="AC29" s="179" t="str">
        <f>IF(ROUND((DATE($AA$1,AC$2,$Z28)-$A$1)/7,0)=ROUND((DATE($AA$1,AC$2,$Z29)-$A$1)/7,0),"","P"&amp;ROUND((DATE($AA$1,AC$2,$Z29)-$A$1)/7,0)-'1週目'!$P$2+$A$2)</f>
        <v/>
      </c>
      <c r="AD29" s="140" t="str">
        <f>IF(ROUND((DATE($AA$1,AC$2,$Z30)-$A$1)/7,0)=ROUND((DATE($AA$1,AC$2,$Z29)-$A$1)/7,0),"","P"&amp;ROUND((DATE($AA$1,AC$2,$Z29)-$A$1)/7,0)-'1週目'!$P$2+$A$2)</f>
        <v/>
      </c>
      <c r="AE29" s="179" t="str">
        <f>IF(ROUND((DATE($AA$1,AE$2,$Z28)-$A$1)/7,0)=ROUND((DATE($AA$1,AE$2,$Z29)-$A$1)/7,0),"","P"&amp;ROUND((DATE($AA$1,AE$2,$Z29)-$A$1)/7,0)-'1週目'!$P$2+$A$2)</f>
        <v/>
      </c>
      <c r="AF29" s="140" t="str">
        <f>IF(ROUND((DATE($AA$1,AE$2,$Z30)-$A$1)/7,0)=ROUND((DATE($AA$1,AE$2,$Z29)-$A$1)/7,0),"","P"&amp;ROUND((DATE($AA$1,AE$2,$Z29)-$A$1)/7,0)-'1週目'!$P$2+$A$2)</f>
        <v/>
      </c>
      <c r="AG29" s="179" t="str">
        <f>IF(ROUND((DATE($AA$1,AG$2,$Z28)-$A$1)/7,0)=ROUND((DATE($AA$1,AG$2,$Z29)-$A$1)/7,0),"","P"&amp;ROUND((DATE($AA$1,AG$2,$Z29)-$A$1)/7,0)-'1週目'!$P$2+$A$2)</f>
        <v>P20</v>
      </c>
      <c r="AH29" s="140" t="str">
        <f>IF(ROUND((DATE($AA$1,AG$2,$Z30)-$A$1)/7,0)=ROUND((DATE($AA$1,AG$2,$Z29)-$A$1)/7,0),"","P"&amp;ROUND((DATE($AA$1,AG$2,$Z29)-$A$1)/7,0)-'1週目'!$P$2+$A$2)</f>
        <v/>
      </c>
      <c r="AI29" s="179" t="str">
        <f>IF(ROUND((DATE($AA$1,AI$2,$Z28)-$A$1)/7,0)=ROUND((DATE($AA$1,AI$2,$Z29)-$A$1)/7,0),"","P"&amp;ROUND((DATE($AA$1,AI$2,$Z29)-$A$1)/7,0)-'1週目'!$P$2+$A$2)</f>
        <v/>
      </c>
      <c r="AJ29" s="140" t="str">
        <f>IF(ROUND((DATE($AA$1,AI$2,$Z30)-$A$1)/7,0)=ROUND((DATE($AA$1,AI$2,$Z29)-$A$1)/7,0),"","P"&amp;ROUND((DATE($AA$1,AI$2,$Z29)-$A$1)/7,0)-'1週目'!$P$2+$A$2)</f>
        <v/>
      </c>
      <c r="AK29" s="179" t="str">
        <f>IF(ROUND((DATE($AA$1,AK$2,$Z28)-$A$1)/7,0)=ROUND((DATE($AA$1,AK$2,$Z29)-$A$1)/7,0),"","P"&amp;ROUND((DATE($AA$1,AK$2,$Z29)-$A$1)/7,0)-'1週目'!$P$2+$A$2)</f>
        <v/>
      </c>
      <c r="AL29" s="140" t="str">
        <f>IF(ROUND((DATE($AA$1,AK$2,$Z30)-$A$1)/7,0)=ROUND((DATE($AA$1,AK$2,$Z29)-$A$1)/7,0),"","P"&amp;ROUND((DATE($AA$1,AK$2,$Z29)-$A$1)/7,0)-'1週目'!$P$2+$A$2)</f>
        <v>P28</v>
      </c>
      <c r="AM29" s="179" t="str">
        <f>IF(ROUND((DATE($AA$1,AM$2,$Z28)-$A$1)/7,0)=ROUND((DATE($AA$1,AM$2,$Z29)-$A$1)/7,0),"","P"&amp;ROUND((DATE($AA$1,AM$2,$Z29)-$A$1)/7,0)-'1週目'!$P$2+$A$2)</f>
        <v/>
      </c>
      <c r="AN29" s="140" t="str">
        <f>IF(ROUND((DATE($AA$1,AM$2,$Z30)-$A$1)/7,0)=ROUND((DATE($AA$1,AM$2,$Z29)-$A$1)/7,0),"","P"&amp;ROUND((DATE($AA$1,AM$2,$Z29)-$A$1)/7,0)-'1週目'!$P$2+$A$2)</f>
        <v/>
      </c>
      <c r="AO29" s="179" t="str">
        <f>IF(ROUND((DATE($AA$1,AO$2,$Z28)-$A$1)/7,0)=ROUND((DATE($AA$1,AO$2,$Z29)-$A$1)/7,0),"","P"&amp;ROUND((DATE($AA$1,AO$2,$Z29)-$A$1)/7,0)-'1週目'!$P$2+$A$2)</f>
        <v/>
      </c>
      <c r="AP29" s="140" t="str">
        <f>IF(ROUND((DATE($AA$1,AO$2,$Z30)-$A$1)/7,0)=ROUND((DATE($AA$1,AO$2,$Z29)-$A$1)/7,0),"","P"&amp;ROUND((DATE($AA$1,AO$2,$Z29)-$A$1)/7,0)-'1週目'!$P$2+$A$2)</f>
        <v/>
      </c>
      <c r="AQ29" s="179" t="str">
        <f>IF(ROUND((DATE($AA$1,AQ$2,$Z28)-$A$1)/7,0)=ROUND((DATE($AA$1,AQ$2,$Z29)-$A$1)/7,0),"","P"&amp;ROUND((DATE($AA$1,AQ$2,$Z29)-$A$1)/7,0)-'1週目'!$P$2+$A$2)</f>
        <v/>
      </c>
      <c r="AR29" s="140" t="str">
        <f>IF(ROUND((DATE($AA$1,AQ$2,$Z30)-$A$1)/7,0)=ROUND((DATE($AA$1,AQ$2,$Z29)-$A$1)/7,0),"","P"&amp;ROUND((DATE($AA$1,AQ$2,$Z29)-$A$1)/7,0)-'1週目'!$P$2+$A$2)</f>
        <v>P41</v>
      </c>
      <c r="AS29" s="179" t="str">
        <f>IF(ROUND((DATE($AA$1+1,AS$2,$Z28)-$A$1)/7,0)=ROUND((DATE($AA$1+1,AS$2,$Z29)-$A$1)/7,0),"","P"&amp;ROUND((DATE($AA$1+1,AS$2,$Z29)-$A$1)/7,0)-'1週目'!$P$2+$A$2)</f>
        <v/>
      </c>
      <c r="AT29" s="140" t="str">
        <f>IF(ROUND((DATE($AA$1+1,AS$2,$Z30)-$A$1)/7,0)=ROUND((DATE($AA$1+1,AS$2,$Z29)-$A$1)/7,0),"","P"&amp;ROUND((DATE($AA$1+1,AS$2,$Z29)-$A$1)/7,0)-'1週目'!$P$2+$A$2)</f>
        <v/>
      </c>
      <c r="AU29" s="179" t="str">
        <f>IF(ROUND((DATE($AA$1+1,AU$2,$Z28)-$A$1)/7,0)=ROUND((DATE($AA$1+1,AU$2,$Z29)-$A$1)/7,0),"","P"&amp;ROUND((DATE($AA$1+1,AU$2,$Z29)-$A$1)/7,0)-'1週目'!$P$2+$A$2)</f>
        <v/>
      </c>
      <c r="AV29" s="140" t="str">
        <f>IF(ROUND((DATE($AA$1+1,AU$2,$Z30)-$A$1)/7,0)=ROUND((DATE($AA$1+1,AU$2,$Z29)-$A$1)/7,0),"","P"&amp;ROUND((DATE($AA$1+1,AU$2,$Z29)-$A$1)/7,0)-'1週目'!$P$2+$A$2)</f>
        <v/>
      </c>
      <c r="AW29" s="179" t="str">
        <f>IF(ROUND((DATE($AA$1+1,AW$2,$Z28)-$A$1)/7,0)=ROUND((DATE($AA$1+1,AW$2,$Z29)-$A$1)/7,0),"","P"&amp;ROUND((DATE($AA$1+1,AW$2,$Z29)-$A$1)/7,0)-'1週目'!$P$2+$A$2)</f>
        <v/>
      </c>
      <c r="AX29" s="146" t="str">
        <f>IF(ROUND((DATE($AA$1+1,AW$2,$Z30)-$A$1)/7,0)=ROUND((DATE($AA$1+1,AW$2,$Z29)-$A$1)/7,0),"","P"&amp;ROUND((DATE($AA$1+1,AW$2,$Z29)-$A$1)/7,0)-'1週目'!$P$2+$A$2)</f>
        <v/>
      </c>
    </row>
    <row r="30" spans="2:50" s="128" customFormat="1" ht="39" customHeight="1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Z30" s="128">
        <v>28</v>
      </c>
      <c r="AA30" s="177" t="str">
        <f>IF(ROUND((DATE($AA$1,AA$2,$Z29)-$A$1)/7,0)=ROUND((DATE($AA$1,AA$2,$Z30)-$A$1)/7,0),"","P"&amp;ROUND((DATE($AA$1,AA$2,$Z30)-$A$1)/7,0)-'1週目'!$P$2+$A$2)</f>
        <v/>
      </c>
      <c r="AB30" s="140" t="str">
        <f>IF(ROUND((DATE($AA$1,AA$2,$Z31)-$A$1)/7,0)=ROUND((DATE($AA$1,AA$2,$Z30)-$A$1)/7,0),"","P"&amp;ROUND((DATE($AA$1,AA$2,$Z30)-$A$1)/7,0)-'1週目'!$P$2+$A$2)</f>
        <v/>
      </c>
      <c r="AC30" s="179" t="str">
        <f>IF(ROUND((DATE($AA$1,AC$2,$Z29)-$A$1)/7,0)=ROUND((DATE($AA$1,AC$2,$Z30)-$A$1)/7,0),"","P"&amp;ROUND((DATE($AA$1,AC$2,$Z30)-$A$1)/7,0)-'1週目'!$P$2+$A$2)</f>
        <v/>
      </c>
      <c r="AD30" s="140" t="str">
        <f>IF(ROUND((DATE($AA$1,AC$2,$Z31)-$A$1)/7,0)=ROUND((DATE($AA$1,AC$2,$Z30)-$A$1)/7,0),"","P"&amp;ROUND((DATE($AA$1,AC$2,$Z30)-$A$1)/7,0)-'1週目'!$P$2+$A$2)</f>
        <v/>
      </c>
      <c r="AE30" s="179" t="str">
        <f>IF(ROUND((DATE($AA$1,AE$2,$Z29)-$A$1)/7,0)=ROUND((DATE($AA$1,AE$2,$Z30)-$A$1)/7,0),"","P"&amp;ROUND((DATE($AA$1,AE$2,$Z30)-$A$1)/7,0)-'1週目'!$P$2+$A$2)</f>
        <v/>
      </c>
      <c r="AF30" s="140" t="str">
        <f>IF(ROUND((DATE($AA$1,AE$2,$Z31)-$A$1)/7,0)=ROUND((DATE($AA$1,AE$2,$Z30)-$A$1)/7,0),"","P"&amp;ROUND((DATE($AA$1,AE$2,$Z30)-$A$1)/7,0)-'1週目'!$P$2+$A$2)</f>
        <v>P15</v>
      </c>
      <c r="AG30" s="179" t="str">
        <f>IF(ROUND((DATE($AA$1,AG$2,$Z29)-$A$1)/7,0)=ROUND((DATE($AA$1,AG$2,$Z30)-$A$1)/7,0),"","P"&amp;ROUND((DATE($AA$1,AG$2,$Z30)-$A$1)/7,0)-'1週目'!$P$2+$A$2)</f>
        <v/>
      </c>
      <c r="AH30" s="140" t="str">
        <f>IF(ROUND((DATE($AA$1,AG$2,$Z31)-$A$1)/7,0)=ROUND((DATE($AA$1,AG$2,$Z30)-$A$1)/7,0),"","P"&amp;ROUND((DATE($AA$1,AG$2,$Z30)-$A$1)/7,0)-'1週目'!$P$2+$A$2)</f>
        <v/>
      </c>
      <c r="AI30" s="179" t="str">
        <f>IF(ROUND((DATE($AA$1,AI$2,$Z29)-$A$1)/7,0)=ROUND((DATE($AA$1,AI$2,$Z30)-$A$1)/7,0),"","P"&amp;ROUND((DATE($AA$1,AI$2,$Z30)-$A$1)/7,0)-'1週目'!$P$2+$A$2)</f>
        <v/>
      </c>
      <c r="AJ30" s="140" t="str">
        <f>IF(ROUND((DATE($AA$1,AI$2,$Z31)-$A$1)/7,0)=ROUND((DATE($AA$1,AI$2,$Z30)-$A$1)/7,0),"","P"&amp;ROUND((DATE($AA$1,AI$2,$Z30)-$A$1)/7,0)-'1週目'!$P$2+$A$2)</f>
        <v/>
      </c>
      <c r="AK30" s="179" t="str">
        <f>IF(ROUND((DATE($AA$1,AK$2,$Z29)-$A$1)/7,0)=ROUND((DATE($AA$1,AK$2,$Z30)-$A$1)/7,0),"","P"&amp;ROUND((DATE($AA$1,AK$2,$Z30)-$A$1)/7,0)-'1週目'!$P$2+$A$2)</f>
        <v>P29</v>
      </c>
      <c r="AL30" s="140" t="str">
        <f>IF(ROUND((DATE($AA$1,AK$2,$Z31)-$A$1)/7,0)=ROUND((DATE($AA$1,AK$2,$Z30)-$A$1)/7,0),"","P"&amp;ROUND((DATE($AA$1,AK$2,$Z30)-$A$1)/7,0)-'1週目'!$P$2+$A$2)</f>
        <v/>
      </c>
      <c r="AM30" s="179" t="str">
        <f>IF(ROUND((DATE($AA$1,AM$2,$Z29)-$A$1)/7,0)=ROUND((DATE($AA$1,AM$2,$Z30)-$A$1)/7,0),"","P"&amp;ROUND((DATE($AA$1,AM$2,$Z30)-$A$1)/7,0)-'1週目'!$P$2+$A$2)</f>
        <v/>
      </c>
      <c r="AN30" s="140" t="str">
        <f>IF(ROUND((DATE($AA$1,AM$2,$Z31)-$A$1)/7,0)=ROUND((DATE($AA$1,AM$2,$Z30)-$A$1)/7,0),"","P"&amp;ROUND((DATE($AA$1,AM$2,$Z30)-$A$1)/7,0)-'1週目'!$P$2+$A$2)</f>
        <v/>
      </c>
      <c r="AO30" s="179" t="str">
        <f>IF(ROUND((DATE($AA$1,AO$2,$Z29)-$A$1)/7,0)=ROUND((DATE($AA$1,AO$2,$Z30)-$A$1)/7,0),"","P"&amp;ROUND((DATE($AA$1,AO$2,$Z30)-$A$1)/7,0)-'1週目'!$P$2+$A$2)</f>
        <v/>
      </c>
      <c r="AP30" s="140" t="str">
        <f>IF(ROUND((DATE($AA$1,AO$2,$Z31)-$A$1)/7,0)=ROUND((DATE($AA$1,AO$2,$Z30)-$A$1)/7,0),"","P"&amp;ROUND((DATE($AA$1,AO$2,$Z30)-$A$1)/7,0)-'1週目'!$P$2+$A$2)</f>
        <v/>
      </c>
      <c r="AQ30" s="179" t="str">
        <f>IF(ROUND((DATE($AA$1,AQ$2,$Z29)-$A$1)/7,0)=ROUND((DATE($AA$1,AQ$2,$Z30)-$A$1)/7,0),"","P"&amp;ROUND((DATE($AA$1,AQ$2,$Z30)-$A$1)/7,0)-'1週目'!$P$2+$A$2)</f>
        <v>P42</v>
      </c>
      <c r="AR30" s="140" t="str">
        <f>IF(ROUND((DATE($AA$1,AQ$2,$Z31)-$A$1)/7,0)=ROUND((DATE($AA$1,AQ$2,$Z30)-$A$1)/7,0),"","P"&amp;ROUND((DATE($AA$1,AQ$2,$Z30)-$A$1)/7,0)-'1週目'!$P$2+$A$2)</f>
        <v/>
      </c>
      <c r="AS30" s="179" t="str">
        <f>IF(ROUND((DATE($AA$1+1,AS$2,$Z29)-$A$1)/7,0)=ROUND((DATE($AA$1+1,AS$2,$Z30)-$A$1)/7,0),"","P"&amp;ROUND((DATE($AA$1+1,AS$2,$Z30)-$A$1)/7,0)-'1週目'!$P$2+$A$2)</f>
        <v/>
      </c>
      <c r="AT30" s="140" t="str">
        <f>IF(ROUND((DATE($AA$1+1,AS$2,$Z31)-$A$1)/7,0)=ROUND((DATE($AA$1+1,AS$2,$Z30)-$A$1)/7,0),"","P"&amp;ROUND((DATE($AA$1+1,AS$2,$Z30)-$A$1)/7,0)-'1週目'!$P$2+$A$2)</f>
        <v/>
      </c>
      <c r="AU30" s="179" t="str">
        <f>IF(ROUND((DATE($AA$1+1,AU$2,$Z29)-$A$1)/7,0)=ROUND((DATE($AA$1+1,AU$2,$Z30)-$A$1)/7,0),"","P"&amp;ROUND((DATE($AA$1+1,AU$2,$Z30)-$A$1)/7,0)-'1週目'!$P$2+$A$2)</f>
        <v/>
      </c>
      <c r="AV30" s="140" t="str">
        <f>IF(ROUND((DATE($AA$1+1,AU$2,$Z31)-$A$1)/7,0)=ROUND((DATE($AA$1+1,AU$2,$Z30)-$A$1)/7,0),"","P"&amp;ROUND((DATE($AA$1+1,AU$2,$Z30)-$A$1)/7,0)-'1週目'!$P$2+$A$2)</f>
        <v>P50</v>
      </c>
      <c r="AW30" s="179" t="str">
        <f>IF(ROUND((DATE($AA$1+1,AW$2,$Z29)-$A$1)/7,0)=ROUND((DATE($AA$1+1,AW$2,$Z30)-$A$1)/7,0),"","P"&amp;ROUND((DATE($AA$1+1,AW$2,$Z30)-$A$1)/7,0)-'1週目'!$P$2+$A$2)</f>
        <v/>
      </c>
      <c r="AX30" s="146" t="str">
        <f>IF(ROUND((DATE($AA$1+1,AW$2,$Z31)-$A$1)/7,0)=ROUND((DATE($AA$1+1,AW$2,$Z30)-$A$1)/7,0),"","P"&amp;ROUND((DATE($AA$1+1,AW$2,$Z30)-$A$1)/7,0)-'1週目'!$P$2+$A$2)</f>
        <v>P54</v>
      </c>
    </row>
    <row r="31" spans="2:50" s="128" customFormat="1" ht="39" customHeight="1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Z31" s="128">
        <v>29</v>
      </c>
      <c r="AA31" s="177" t="str">
        <f>IF(ROUND((DATE($AA$1,AA$2,$Z30)-$A$1)/7,0)=ROUND((DATE($AA$1,AA$2,$Z31)-$A$1)/7,0),"","P"&amp;ROUND((DATE($AA$1,AA$2,$Z31)-$A$1)/7,0)-'1週目'!$P$2+$A$2)</f>
        <v/>
      </c>
      <c r="AB31" s="140" t="str">
        <f>IF(ROUND((DATE($AA$1,AA$2,$Z32)-$A$1)/7,0)=ROUND((DATE($AA$1,AA$2,$Z31)-$A$1)/7,0),"","P"&amp;ROUND((DATE($AA$1,AA$2,$Z31)-$A$1)/7,0)-'1週目'!$P$2+$A$2)</f>
        <v/>
      </c>
      <c r="AC31" s="179" t="str">
        <f>IF(ROUND((DATE($AA$1,AC$2,$Z30)-$A$1)/7,0)=ROUND((DATE($AA$1,AC$2,$Z31)-$A$1)/7,0),"","P"&amp;ROUND((DATE($AA$1,AC$2,$Z31)-$A$1)/7,0)-'1週目'!$P$2+$A$2)</f>
        <v/>
      </c>
      <c r="AD31" s="140" t="str">
        <f>IF(ROUND((DATE($AA$1,AC$2,$Z32)-$A$1)/7,0)=ROUND((DATE($AA$1,AC$2,$Z31)-$A$1)/7,0),"","P"&amp;ROUND((DATE($AA$1,AC$2,$Z31)-$A$1)/7,0)-'1週目'!$P$2+$A$2)</f>
        <v/>
      </c>
      <c r="AE31" s="179" t="str">
        <f>IF(ROUND((DATE($AA$1,AE$2,$Z30)-$A$1)/7,0)=ROUND((DATE($AA$1,AE$2,$Z31)-$A$1)/7,0),"","P"&amp;ROUND((DATE($AA$1,AE$2,$Z31)-$A$1)/7,0)-'1週目'!$P$2+$A$2)</f>
        <v>P16</v>
      </c>
      <c r="AF31" s="140" t="str">
        <f>IF(ROUND((DATE($AA$1,AE$2,$Z32)-$A$1)/7,0)=ROUND((DATE($AA$1,AE$2,$Z31)-$A$1)/7,0),"","P"&amp;ROUND((DATE($AA$1,AE$2,$Z31)-$A$1)/7,0)-'1週目'!$P$2+$A$2)</f>
        <v/>
      </c>
      <c r="AG31" s="179" t="str">
        <f>IF(ROUND((DATE($AA$1,AG$2,$Z30)-$A$1)/7,0)=ROUND((DATE($AA$1,AG$2,$Z31)-$A$1)/7,0),"","P"&amp;ROUND((DATE($AA$1,AG$2,$Z31)-$A$1)/7,0)-'1週目'!$P$2+$A$2)</f>
        <v/>
      </c>
      <c r="AH31" s="140" t="str">
        <f>IF(ROUND((DATE($AA$1,AG$2,$Z32)-$A$1)/7,0)=ROUND((DATE($AA$1,AG$2,$Z31)-$A$1)/7,0),"","P"&amp;ROUND((DATE($AA$1,AG$2,$Z31)-$A$1)/7,0)-'1週目'!$P$2+$A$2)</f>
        <v/>
      </c>
      <c r="AI31" s="179" t="str">
        <f>IF(ROUND((DATE($AA$1,AI$2,$Z30)-$A$1)/7,0)=ROUND((DATE($AA$1,AI$2,$Z31)-$A$1)/7,0),"","P"&amp;ROUND((DATE($AA$1,AI$2,$Z31)-$A$1)/7,0)-'1週目'!$P$2+$A$2)</f>
        <v/>
      </c>
      <c r="AJ31" s="140" t="str">
        <f>IF(ROUND((DATE($AA$1,AI$2,$Z32)-$A$1)/7,0)=ROUND((DATE($AA$1,AI$2,$Z31)-$A$1)/7,0),"","P"&amp;ROUND((DATE($AA$1,AI$2,$Z31)-$A$1)/7,0)-'1週目'!$P$2+$A$2)</f>
        <v/>
      </c>
      <c r="AK31" s="179" t="str">
        <f>IF(ROUND((DATE($AA$1,AK$2,$Z30)-$A$1)/7,0)=ROUND((DATE($AA$1,AK$2,$Z31)-$A$1)/7,0),"","P"&amp;ROUND((DATE($AA$1,AK$2,$Z31)-$A$1)/7,0)-'1週目'!$P$2+$A$2)</f>
        <v/>
      </c>
      <c r="AL31" s="140" t="str">
        <f>IF(ROUND((DATE($AA$1,AK$2,$Z32)-$A$1)/7,0)=ROUND((DATE($AA$1,AK$2,$Z31)-$A$1)/7,0),"","P"&amp;ROUND((DATE($AA$1,AK$2,$Z31)-$A$1)/7,0)-'1週目'!$P$2+$A$2)</f>
        <v/>
      </c>
      <c r="AM31" s="179" t="str">
        <f>IF(ROUND((DATE($AA$1,AM$2,$Z30)-$A$1)/7,0)=ROUND((DATE($AA$1,AM$2,$Z31)-$A$1)/7,0),"","P"&amp;ROUND((DATE($AA$1,AM$2,$Z31)-$A$1)/7,0)-'1週目'!$P$2+$A$2)</f>
        <v/>
      </c>
      <c r="AN31" s="140" t="str">
        <f>IF(ROUND((DATE($AA$1,AM$2,$Z32)-$A$1)/7,0)=ROUND((DATE($AA$1,AM$2,$Z31)-$A$1)/7,0),"","P"&amp;ROUND((DATE($AA$1,AM$2,$Z31)-$A$1)/7,0)-'1週目'!$P$2+$A$2)</f>
        <v/>
      </c>
      <c r="AO31" s="179" t="str">
        <f>IF(ROUND((DATE($AA$1,AO$2,$Z30)-$A$1)/7,0)=ROUND((DATE($AA$1,AO$2,$Z31)-$A$1)/7,0),"","P"&amp;ROUND((DATE($AA$1,AO$2,$Z31)-$A$1)/7,0)-'1週目'!$P$2+$A$2)</f>
        <v/>
      </c>
      <c r="AP31" s="140" t="str">
        <f>IF(ROUND((DATE($AA$1,AO$2,$Z32)-$A$1)/7,0)=ROUND((DATE($AA$1,AO$2,$Z31)-$A$1)/7,0),"","P"&amp;ROUND((DATE($AA$1,AO$2,$Z31)-$A$1)/7,0)-'1週目'!$P$2+$A$2)</f>
        <v>P37</v>
      </c>
      <c r="AQ31" s="179" t="str">
        <f>IF(ROUND((DATE($AA$1,AQ$2,$Z30)-$A$1)/7,0)=ROUND((DATE($AA$1,AQ$2,$Z31)-$A$1)/7,0),"","P"&amp;ROUND((DATE($AA$1,AQ$2,$Z31)-$A$1)/7,0)-'1週目'!$P$2+$A$2)</f>
        <v/>
      </c>
      <c r="AR31" s="140" t="str">
        <f>IF(ROUND((DATE($AA$1,AQ$2,$Z32)-$A$1)/7,0)=ROUND((DATE($AA$1,AQ$2,$Z31)-$A$1)/7,0),"","P"&amp;ROUND((DATE($AA$1,AQ$2,$Z31)-$A$1)/7,0)-'1週目'!$P$2+$A$2)</f>
        <v/>
      </c>
      <c r="AS31" s="179" t="str">
        <f>IF(ROUND((DATE($AA$1+1,AS$2,$Z30)-$A$1)/7,0)=ROUND((DATE($AA$1+1,AS$2,$Z31)-$A$1)/7,0),"","P"&amp;ROUND((DATE($AA$1+1,AS$2,$Z31)-$A$1)/7,0)-'1週目'!$P$2+$A$2)</f>
        <v/>
      </c>
      <c r="AT31" s="140" t="str">
        <f>IF(ROUND((DATE($AA$1+1,AS$2,$Z32)-$A$1)/7,0)=ROUND((DATE($AA$1+1,AS$2,$Z31)-$A$1)/7,0),"","P"&amp;ROUND((DATE($AA$1+1,AS$2,$Z31)-$A$1)/7,0)-'1週目'!$P$2+$A$2)</f>
        <v/>
      </c>
      <c r="AU31" s="179" t="str">
        <f>IF(ROUND((DATE($AA$1+1,AU$2,$Z30)-$A$1)/7,0)=ROUND((DATE($AA$1+1,AU$2,$Z31)-$A$1)/7,0),"","P"&amp;ROUND((DATE($AA$1+1,AU$2,$Z31)-$A$1)/7,0)-'1週目'!$P$2+$A$2)</f>
        <v>P51</v>
      </c>
      <c r="AV31" s="140" t="str">
        <f>IF(ROUND((DATE($AA$1+1,AU$2,$Z32)-$A$1)/7,0)=ROUND((DATE($AA$1+1,AU$2,$Z31)-$A$1)/7,0),"","P"&amp;ROUND((DATE($AA$1+1,AU$2,$Z31)-$A$1)/7,0)-'1週目'!$P$2+$A$2)</f>
        <v/>
      </c>
      <c r="AW31" s="179" t="str">
        <f>IF(ROUND((DATE($AA$1+1,AW$2,$Z30)-$A$1)/7,0)=ROUND((DATE($AA$1+1,AW$2,$Z31)-$A$1)/7,0),"","P"&amp;ROUND((DATE($AA$1+1,AW$2,$Z31)-$A$1)/7,0)-'1週目'!$P$2+$A$2)</f>
        <v>P55</v>
      </c>
      <c r="AX31" s="146" t="str">
        <f>IF(ROUND((DATE($AA$1+1,AW$2,$Z32)-$A$1)/7,0)=ROUND((DATE($AA$1+1,AW$2,$Z31)-$A$1)/7,0),"","P"&amp;ROUND((DATE($AA$1+1,AW$2,$Z31)-$A$1)/7,0)-'1週目'!$P$2+$A$2)</f>
        <v/>
      </c>
    </row>
    <row r="32" spans="2:50" s="128" customFormat="1" ht="39" customHeight="1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Z32" s="128">
        <v>30</v>
      </c>
      <c r="AA32" s="177" t="str">
        <f>IF(ROUND((DATE($AA$1,AA$2,$Z31)-$A$1)/7,0)=ROUND((DATE($AA$1,AA$2,$Z32)-$A$1)/7,0),"","P"&amp;ROUND((DATE($AA$1,AA$2,$Z32)-$A$1)/7,0)-'1週目'!$P$2+$A$2)</f>
        <v/>
      </c>
      <c r="AB32" s="140" t="str">
        <f>IF(ROUND((DATE($AA$1,AA$2,$Z33)-$A$1)/7,0)=ROUND((DATE($AA$1,AA$2,$Z32)-$A$1)/7,0),"","P"&amp;ROUND((DATE($AA$1,AA$2,$Z32)-$A$1)/7,0)-'1週目'!$P$2+$A$2)</f>
        <v/>
      </c>
      <c r="AC32" s="179" t="str">
        <f>IF(ROUND((DATE($AA$1,AC$2,$Z31)-$A$1)/7,0)=ROUND((DATE($AA$1,AC$2,$Z32)-$A$1)/7,0),"","P"&amp;ROUND((DATE($AA$1,AC$2,$Z32)-$A$1)/7,0)-'1週目'!$P$2+$A$2)</f>
        <v/>
      </c>
      <c r="AD32" s="140" t="str">
        <f>IF(ROUND((DATE($AA$1,AC$2,$Z33)-$A$1)/7,0)=ROUND((DATE($AA$1,AC$2,$Z32)-$A$1)/7,0),"","P"&amp;ROUND((DATE($AA$1,AC$2,$Z32)-$A$1)/7,0)-'1週目'!$P$2+$A$2)</f>
        <v/>
      </c>
      <c r="AE32" s="179" t="str">
        <f>IF(ROUND((DATE($AA$1,AE$2,$Z31)-$A$1)/7,0)=ROUND((DATE($AA$1,AE$2,$Z32)-$A$1)/7,0),"","P"&amp;ROUND((DATE($AA$1,AE$2,$Z32)-$A$1)/7,0)-'1週目'!$P$2+$A$2)</f>
        <v/>
      </c>
      <c r="AF32" s="140" t="str">
        <f>IF(ROUND((DATE($AA$1,AE$2,$Z33)-$A$1)/7,0)=ROUND((DATE($AA$1,AE$2,$Z32)-$A$1)/7,0),"","P"&amp;ROUND((DATE($AA$1,AE$2,$Z32)-$A$1)/7,0)-'1週目'!$P$2+$A$2)</f>
        <v/>
      </c>
      <c r="AG32" s="179" t="str">
        <f>IF(ROUND((DATE($AA$1,AG$2,$Z31)-$A$1)/7,0)=ROUND((DATE($AA$1,AG$2,$Z32)-$A$1)/7,0),"","P"&amp;ROUND((DATE($AA$1,AG$2,$Z32)-$A$1)/7,0)-'1週目'!$P$2+$A$2)</f>
        <v/>
      </c>
      <c r="AH32" s="140" t="str">
        <f>IF(ROUND((DATE($AA$1,AG$2,$Z33)-$A$1)/7,0)=ROUND((DATE($AA$1,AG$2,$Z32)-$A$1)/7,0),"","P"&amp;ROUND((DATE($AA$1,AG$2,$Z32)-$A$1)/7,0)-'1週目'!$P$2+$A$2)</f>
        <v/>
      </c>
      <c r="AI32" s="179" t="str">
        <f>IF(ROUND((DATE($AA$1,AI$2,$Z31)-$A$1)/7,0)=ROUND((DATE($AA$1,AI$2,$Z32)-$A$1)/7,0),"","P"&amp;ROUND((DATE($AA$1,AI$2,$Z32)-$A$1)/7,0)-'1週目'!$P$2+$A$2)</f>
        <v/>
      </c>
      <c r="AJ32" s="140" t="str">
        <f>IF(ROUND((DATE($AA$1,AI$2,$Z33)-$A$1)/7,0)=ROUND((DATE($AA$1,AI$2,$Z32)-$A$1)/7,0),"","P"&amp;ROUND((DATE($AA$1,AI$2,$Z32)-$A$1)/7,0)-'1週目'!$P$2+$A$2)</f>
        <v>P24</v>
      </c>
      <c r="AK32" s="179" t="str">
        <f>IF(ROUND((DATE($AA$1,AK$2,$Z31)-$A$1)/7,0)=ROUND((DATE($AA$1,AK$2,$Z32)-$A$1)/7,0),"","P"&amp;ROUND((DATE($AA$1,AK$2,$Z32)-$A$1)/7,0)-'1週目'!$P$2+$A$2)</f>
        <v/>
      </c>
      <c r="AL32" s="140" t="str">
        <f>IF(ROUND((DATE($AA$1,AK$2,$Z33)-$A$1)/7,0)=ROUND((DATE($AA$1,AK$2,$Z32)-$A$1)/7,0),"","P"&amp;ROUND((DATE($AA$1,AK$2,$Z32)-$A$1)/7,0)-'1週目'!$P$2+$A$2)</f>
        <v/>
      </c>
      <c r="AM32" s="179" t="str">
        <f>IF(ROUND((DATE($AA$1,AM$2,$Z31)-$A$1)/7,0)=ROUND((DATE($AA$1,AM$2,$Z32)-$A$1)/7,0),"","P"&amp;ROUND((DATE($AA$1,AM$2,$Z32)-$A$1)/7,0)-'1週目'!$P$2+$A$2)</f>
        <v/>
      </c>
      <c r="AN32" s="140" t="str">
        <f>IF(ROUND((DATE($AA$1,AM$2,$Z33)-$A$1)/7,0)=ROUND((DATE($AA$1,AM$2,$Z32)-$A$1)/7,0),"","P"&amp;ROUND((DATE($AA$1,AM$2,$Z32)-$A$1)/7,0)-'1週目'!$P$2+$A$2)</f>
        <v/>
      </c>
      <c r="AO32" s="179" t="str">
        <f>IF(ROUND((DATE($AA$1,AO$2,$Z31)-$A$1)/7,0)=ROUND((DATE($AA$1,AO$2,$Z32)-$A$1)/7,0),"","P"&amp;ROUND((DATE($AA$1,AO$2,$Z32)-$A$1)/7,0)-'1週目'!$P$2+$A$2)</f>
        <v>P38</v>
      </c>
      <c r="AP32" s="140" t="str">
        <f>IF(ROUND((DATE($AA$1,AO$2,$Z33)-$A$1)/7,0)=ROUND((DATE($AA$1,AO$2,$Z32)-$A$1)/7,0),"","P"&amp;ROUND((DATE($AA$1,AO$2,$Z32)-$A$1)/7,0)-'1週目'!$P$2+$A$2)</f>
        <v/>
      </c>
      <c r="AQ32" s="179" t="str">
        <f>IF(ROUND((DATE($AA$1,AQ$2,$Z31)-$A$1)/7,0)=ROUND((DATE($AA$1,AQ$2,$Z32)-$A$1)/7,0),"","P"&amp;ROUND((DATE($AA$1,AQ$2,$Z32)-$A$1)/7,0)-'1週目'!$P$2+$A$2)</f>
        <v/>
      </c>
      <c r="AR32" s="140" t="str">
        <f>IF(ROUND((DATE($AA$1,AQ$2,$Z33)-$A$1)/7,0)=ROUND((DATE($AA$1,AQ$2,$Z32)-$A$1)/7,0),"","P"&amp;ROUND((DATE($AA$1,AQ$2,$Z32)-$A$1)/7,0)-'1週目'!$P$2+$A$2)</f>
        <v/>
      </c>
      <c r="AS32" s="179" t="str">
        <f>IF(ROUND((DATE($AA$1+1,AS$2,$Z31)-$A$1)/7,0)=ROUND((DATE($AA$1+1,AS$2,$Z32)-$A$1)/7,0),"","P"&amp;ROUND((DATE($AA$1+1,AS$2,$Z32)-$A$1)/7,0)-'1週目'!$P$2+$A$2)</f>
        <v/>
      </c>
      <c r="AT32" s="140" t="str">
        <f>IF(ROUND((DATE($AA$1+1,AS$2,$Z33)-$A$1)/7,0)=ROUND((DATE($AA$1+1,AS$2,$Z32)-$A$1)/7,0),"","P"&amp;ROUND((DATE($AA$1+1,AS$2,$Z32)-$A$1)/7,0)-'1週目'!$P$2+$A$2)</f>
        <v/>
      </c>
      <c r="AU32" s="179" t="str">
        <f>IF(ROUND((DATE($AA$1+1,AU$2,$Z31)-$A$1)/7,0)=ROUND((DATE($AA$1+1,AU$2,$Z32)-$A$1)/7,0),"","P"&amp;ROUND((DATE($AA$1+1,AU$2,$Z32)-$A$1)/7,0)-'1週目'!$P$2+$A$2)</f>
        <v/>
      </c>
      <c r="AV32" s="140" t="str">
        <f>IF(ROUND((DATE($AA$1+1,AU$2,$Z33)-$A$1)/7,0)=ROUND((DATE($AA$1+1,AU$2,$Z32)-$A$1)/7,0),"","P"&amp;ROUND((DATE($AA$1+1,AU$2,$Z32)-$A$1)/7,0)-'1週目'!$P$2+$A$2)</f>
        <v/>
      </c>
      <c r="AW32" s="179" t="str">
        <f>IF(ROUND((DATE($AA$1+1,AW$2,$Z31)-$A$1)/7,0)=ROUND((DATE($AA$1+1,AW$2,$Z32)-$A$1)/7,0),"","P"&amp;ROUND((DATE($AA$1+1,AW$2,$Z32)-$A$1)/7,0)-'1週目'!$P$2+$A$2)</f>
        <v/>
      </c>
      <c r="AX32" s="146" t="str">
        <f>IF(ROUND((DATE($AA$1+1,AW$2,$Z33)-$A$1)/7,0)=ROUND((DATE($AA$1+1,AW$2,$Z32)-$A$1)/7,0),"","P"&amp;ROUND((DATE($AA$1+1,AW$2,$Z32)-$A$1)/7,0)-'1週目'!$P$2+$A$2)</f>
        <v/>
      </c>
    </row>
    <row r="33" spans="3:50" s="128" customFormat="1" ht="39" customHeight="1" thickBot="1"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Z33" s="128">
        <v>31</v>
      </c>
      <c r="AA33" s="178" t="str">
        <f>IF(ROUND((DATE($AA$1,AA$2,$Z32)-$A$1)/7,0)=ROUND((DATE($AA$1,AA$2,$Z33)-$A$1)/7,0),"","P"&amp;ROUND((DATE($AA$1,AA$2,$Z33)-$A$1)/7,0)-'1週目'!$P$2+$A$2)</f>
        <v/>
      </c>
      <c r="AB33" s="141" t="str">
        <f>"P"&amp;ROUND((DATE($AA$1,AA$2,$Z33)-$A$1)/7,0)-'1週目'!$P$2+$A$2</f>
        <v>P7</v>
      </c>
      <c r="AC33" s="180" t="str">
        <f>IF(ROUND((DATE($AA$1,AC$2,$Z32)-$A$1)/7,0)=ROUND((DATE($AA$1,AC$2,$Z33)-$A$1)/7,0),"","P"&amp;ROUND((DATE($AA$1,AC$2,$Z33)-$A$1)/7,0)-'1週目'!$P$2+$A$2)</f>
        <v/>
      </c>
      <c r="AD33" s="141" t="str">
        <f>"P"&amp;ROUND((DATE($AA$1,AC$2,$Z33)-$A$1)/7,0)-'1週目'!$P$2+$A$2</f>
        <v>P11</v>
      </c>
      <c r="AE33" s="180" t="str">
        <f>IF(ROUND((DATE($AA$1,AE$2,$Z32)-$A$1)/7,0)=ROUND((DATE($AA$1,AE$2,$Z33)-$A$1)/7,0),"","P"&amp;ROUND((DATE($AA$1,AE$2,$Z33)-$A$1)/7,0)-'1週目'!$P$2+$A$2)</f>
        <v/>
      </c>
      <c r="AF33" s="141" t="str">
        <f>"P"&amp;ROUND((DATE($AA$1,AE$2,$Z33)-$A$1)/7,0)-'1週目'!$P$2+$A$2</f>
        <v>P16</v>
      </c>
      <c r="AG33" s="180" t="str">
        <f>IF(ROUND((DATE($AA$1,AG$2,$Z32)-$A$1)/7,0)=ROUND((DATE($AA$1,AG$2,$Z33)-$A$1)/7,0),"","P"&amp;ROUND((DATE($AA$1,AG$2,$Z33)-$A$1)/7,0)-'1週目'!$P$2+$A$2)</f>
        <v/>
      </c>
      <c r="AH33" s="141" t="str">
        <f>"P"&amp;ROUND((DATE($AA$1,AG$2,$Z33)-$A$1)/7,0)-'1週目'!$P$2+$A$2</f>
        <v>P20</v>
      </c>
      <c r="AI33" s="180" t="str">
        <f>IF(ROUND((DATE($AA$1,AI$2,$Z32)-$A$1)/7,0)=ROUND((DATE($AA$1,AI$2,$Z33)-$A$1)/7,0),"","P"&amp;ROUND((DATE($AA$1,AI$2,$Z33)-$A$1)/7,0)-'1週目'!$P$2+$A$2)</f>
        <v>P25</v>
      </c>
      <c r="AJ33" s="141" t="str">
        <f>"P"&amp;ROUND((DATE($AA$1,AI$2,$Z33)-$A$1)/7,0)-'1週目'!$P$2+$A$2</f>
        <v>P25</v>
      </c>
      <c r="AK33" s="180" t="str">
        <f>IF(ROUND((DATE($AA$1,AK$2,$Z32)-$A$1)/7,0)=ROUND((DATE($AA$1,AK$2,$Z33)-$A$1)/7,0),"","P"&amp;ROUND((DATE($AA$1,AK$2,$Z33)-$A$1)/7,0)-'1週目'!$P$2+$A$2)</f>
        <v/>
      </c>
      <c r="AL33" s="141" t="str">
        <f>"P"&amp;ROUND((DATE($AA$1,AK$2,$Z33)-$A$1)/7,0)-'1週目'!$P$2+$A$2</f>
        <v>P29</v>
      </c>
      <c r="AM33" s="180" t="str">
        <f>IF(ROUND((DATE($AA$1,AM$2,$Z32)-$A$1)/7,0)=ROUND((DATE($AA$1,AM$2,$Z33)-$A$1)/7,0),"","P"&amp;ROUND((DATE($AA$1,AM$2,$Z33)-$A$1)/7,0)-'1週目'!$P$2+$A$2)</f>
        <v/>
      </c>
      <c r="AN33" s="141" t="str">
        <f>"P"&amp;ROUND((DATE($AA$1,AM$2,$Z33)-$A$1)/7,0)-'1週目'!$P$2+$A$2</f>
        <v>P33</v>
      </c>
      <c r="AO33" s="180" t="str">
        <f>IF(ROUND((DATE($AA$1,AO$2,$Z32)-$A$1)/7,0)=ROUND((DATE($AA$1,AO$2,$Z33)-$A$1)/7,0),"","P"&amp;ROUND((DATE($AA$1,AO$2,$Z33)-$A$1)/7,0)-'1週目'!$P$2+$A$2)</f>
        <v/>
      </c>
      <c r="AP33" s="141" t="str">
        <f>"P"&amp;ROUND((DATE($AA$1,AO$2,$Z33)-$A$1)/7,0)-'1週目'!$P$2+$A$2</f>
        <v>P38</v>
      </c>
      <c r="AQ33" s="180" t="str">
        <f>IF(ROUND((DATE($AA$1,AQ$2,$Z32)-$A$1)/7,0)=ROUND((DATE($AA$1,AQ$2,$Z33)-$A$1)/7,0),"","P"&amp;ROUND((DATE($AA$1,AQ$2,$Z33)-$A$1)/7,0)-'1週目'!$P$2+$A$2)</f>
        <v/>
      </c>
      <c r="AR33" s="141" t="str">
        <f>"P"&amp;ROUND((DATE($AA$1,AQ$2,$Z33)-$A$1)/7,0)-'1週目'!$P$2+$A$2</f>
        <v>P42</v>
      </c>
      <c r="AS33" s="180" t="str">
        <f>IF(ROUND((DATE($AA$1,AS$2,$Z32)-$A$1)/7,0)=ROUND((DATE($AA$1,AS$2,$Z33)-$A$1)/7,0),"","P"&amp;ROUND((DATE($AA$1,AS$2,$Z33)-$A$1)/7,0)-'1週目'!$P$2+$A$2)</f>
        <v/>
      </c>
      <c r="AT33" s="141" t="str">
        <f>"P"&amp;ROUND((DATE($AA$1+1,AS$2,$Z33)-$A$1)/7,0)-'1週目'!$P$2+$A$2</f>
        <v>P46</v>
      </c>
      <c r="AU33" s="180" t="str">
        <f>IF(ROUND((DATE($AA$1,AU$2,$Z32)-$A$1)/7,0)=ROUND((DATE($AA$1,AU$2,$Z33)-$A$1)/7,0),"","P"&amp;ROUND((DATE($AA$1,AU$2,$Z33)-$A$1)/7,0)-'1週目'!$P$2+$A$2)</f>
        <v/>
      </c>
      <c r="AV33" s="141" t="str">
        <f>"P"&amp;ROUND((DATE($AA$1+1,AU$2,$Z33)-$A$1)/7,0)-'1週目'!$P$2+$A$2</f>
        <v>P51</v>
      </c>
      <c r="AW33" s="180" t="str">
        <f>IF(ROUND((DATE($AA$1,AW$2,$Z32)-$A$1)/7,0)=ROUND((DATE($AA$1,AW$2,$Z33)-$A$1)/7,0),"","P"&amp;ROUND((DATE($AA$1,AW$2,$Z33)-$A$1)/7,0)-'1週目'!$P$2+$A$2)</f>
        <v/>
      </c>
      <c r="AX33" s="147" t="str">
        <f>"P"&amp;ROUND((DATE($AA$1+1,AW$2,$Z33)-$A$1)/7,0)-'1週目'!$P$2+$A$2</f>
        <v>P55</v>
      </c>
    </row>
    <row r="34" spans="3:50" ht="17.25">
      <c r="AH34" s="145"/>
      <c r="AT34" s="145" t="s">
        <v>290</v>
      </c>
    </row>
  </sheetData>
  <mergeCells count="13">
    <mergeCell ref="AW2:AX2"/>
    <mergeCell ref="AK2:AL2"/>
    <mergeCell ref="AM2:AN2"/>
    <mergeCell ref="AO2:AP2"/>
    <mergeCell ref="AQ2:AR2"/>
    <mergeCell ref="AS2:AT2"/>
    <mergeCell ref="AU2:AV2"/>
    <mergeCell ref="AI2:AJ2"/>
    <mergeCell ref="AA1:AB1"/>
    <mergeCell ref="AA2:AB2"/>
    <mergeCell ref="AC2:AD2"/>
    <mergeCell ref="AE2:AF2"/>
    <mergeCell ref="AG2:AH2"/>
  </mergeCells>
  <phoneticPr fontId="1"/>
  <conditionalFormatting sqref="AU32:AV33">
    <cfRule type="expression" dxfId="45" priority="1" stopIfTrue="1">
      <formula>$X32</formula>
    </cfRule>
  </conditionalFormatting>
  <conditionalFormatting sqref="AK33:AL33">
    <cfRule type="expression" dxfId="44" priority="2" stopIfTrue="1">
      <formula>$S33</formula>
    </cfRule>
  </conditionalFormatting>
  <conditionalFormatting sqref="AA3:AB32">
    <cfRule type="expression" dxfId="43" priority="3" stopIfTrue="1">
      <formula>$N3</formula>
    </cfRule>
  </conditionalFormatting>
  <conditionalFormatting sqref="AC3:AD33">
    <cfRule type="expression" dxfId="42" priority="4" stopIfTrue="1">
      <formula>$O3</formula>
    </cfRule>
  </conditionalFormatting>
  <conditionalFormatting sqref="AE3:AF32">
    <cfRule type="expression" dxfId="41" priority="5" stopIfTrue="1">
      <formula>$P3</formula>
    </cfRule>
  </conditionalFormatting>
  <conditionalFormatting sqref="AG3:AH33">
    <cfRule type="expression" dxfId="40" priority="6" stopIfTrue="1">
      <formula>$Q3</formula>
    </cfRule>
  </conditionalFormatting>
  <conditionalFormatting sqref="AI3:AJ33">
    <cfRule type="expression" dxfId="39" priority="7" stopIfTrue="1">
      <formula>$R3</formula>
    </cfRule>
  </conditionalFormatting>
  <conditionalFormatting sqref="AK3:AL32">
    <cfRule type="expression" dxfId="38" priority="8" stopIfTrue="1">
      <formula>$S3</formula>
    </cfRule>
  </conditionalFormatting>
  <conditionalFormatting sqref="AM3:AN33">
    <cfRule type="expression" dxfId="37" priority="9" stopIfTrue="1">
      <formula>$T3</formula>
    </cfRule>
  </conditionalFormatting>
  <conditionalFormatting sqref="AO3:AP32">
    <cfRule type="expression" dxfId="36" priority="10" stopIfTrue="1">
      <formula>$U3</formula>
    </cfRule>
  </conditionalFormatting>
  <conditionalFormatting sqref="AQ3:AR33">
    <cfRule type="expression" dxfId="35" priority="11" stopIfTrue="1">
      <formula>$V3</formula>
    </cfRule>
  </conditionalFormatting>
  <conditionalFormatting sqref="AS3:AT33">
    <cfRule type="expression" dxfId="34" priority="12" stopIfTrue="1">
      <formula>$W3</formula>
    </cfRule>
  </conditionalFormatting>
  <conditionalFormatting sqref="AU3:AV31">
    <cfRule type="expression" dxfId="33" priority="13" stopIfTrue="1">
      <formula>$X3</formula>
    </cfRule>
  </conditionalFormatting>
  <conditionalFormatting sqref="AW3:AX33">
    <cfRule type="expression" dxfId="32" priority="14" stopIfTrue="1">
      <formula>$Y3</formula>
    </cfRule>
  </conditionalFormatting>
  <printOptions horizontalCentered="1" verticalCentered="1"/>
  <pageMargins left="0.39370078740157483" right="0" top="0" bottom="0" header="0" footer="0"/>
  <pageSetup paperSize="8" scale="4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Z50"/>
  <sheetViews>
    <sheetView tabSelected="1" zoomScaleNormal="100" workbookViewId="0">
      <selection activeCell="P5" sqref="P5"/>
    </sheetView>
  </sheetViews>
  <sheetFormatPr defaultRowHeight="18.75"/>
  <cols>
    <col min="7" max="7" width="2.625" customWidth="1"/>
    <col min="8" max="8" width="4.5" customWidth="1"/>
    <col min="16" max="16" width="9.375" bestFit="1" customWidth="1"/>
    <col min="21" max="26" width="9" customWidth="1"/>
  </cols>
  <sheetData>
    <row r="1" spans="1:26" s="97" customFormat="1" ht="35.25" customHeight="1" thickBot="1">
      <c r="A1" s="96" t="s">
        <v>56</v>
      </c>
      <c r="H1" s="96" t="s">
        <v>55</v>
      </c>
      <c r="P1" t="s">
        <v>54</v>
      </c>
      <c r="Q1"/>
      <c r="R1"/>
      <c r="S1"/>
      <c r="T1"/>
      <c r="U1" s="97">
        <v>13</v>
      </c>
      <c r="Z1" s="95" t="str">
        <f t="array" ref="Z1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２年１組</v>
      </c>
    </row>
    <row r="2" spans="1:26">
      <c r="B2" s="91" t="s">
        <v>49</v>
      </c>
      <c r="C2" s="90" t="s">
        <v>50</v>
      </c>
      <c r="D2" s="92" t="s">
        <v>51</v>
      </c>
      <c r="E2" s="93" t="s">
        <v>52</v>
      </c>
      <c r="F2" s="94" t="s">
        <v>53</v>
      </c>
      <c r="G2" s="1"/>
      <c r="I2" s="2"/>
      <c r="J2" s="70" t="s">
        <v>35</v>
      </c>
      <c r="K2" s="3" t="s">
        <v>36</v>
      </c>
      <c r="L2" s="3" t="s">
        <v>37</v>
      </c>
      <c r="M2" s="3" t="s">
        <v>38</v>
      </c>
      <c r="N2" s="4" t="s">
        <v>39</v>
      </c>
      <c r="P2" s="184" t="s">
        <v>57</v>
      </c>
      <c r="Q2" s="184"/>
      <c r="R2" s="184"/>
      <c r="S2" s="184"/>
      <c r="T2" s="184"/>
      <c r="Z2" s="95" t="str">
        <f t="array" ref="Z2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２年２組</v>
      </c>
    </row>
    <row r="3" spans="1:26" ht="20.25" customHeight="1">
      <c r="B3" s="89"/>
      <c r="C3" t="s">
        <v>296</v>
      </c>
      <c r="D3" t="s">
        <v>298</v>
      </c>
      <c r="E3" t="s">
        <v>301</v>
      </c>
      <c r="F3" t="s">
        <v>302</v>
      </c>
      <c r="I3" s="191">
        <v>1</v>
      </c>
      <c r="J3" s="185" t="s">
        <v>307</v>
      </c>
      <c r="K3" s="187" t="s">
        <v>298</v>
      </c>
      <c r="L3" s="187"/>
      <c r="M3" s="187" t="s">
        <v>308</v>
      </c>
      <c r="N3" s="189"/>
      <c r="P3" s="184"/>
      <c r="Q3" s="184"/>
      <c r="R3" s="184"/>
      <c r="S3" s="184"/>
      <c r="T3" s="184"/>
      <c r="Z3" s="95" t="str">
        <f t="array" ref="Z3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２年３組</v>
      </c>
    </row>
    <row r="4" spans="1:26" ht="20.25" customHeight="1">
      <c r="C4" t="s">
        <v>297</v>
      </c>
      <c r="D4" t="s">
        <v>299</v>
      </c>
      <c r="I4" s="192"/>
      <c r="J4" s="186"/>
      <c r="K4" s="188"/>
      <c r="L4" s="188"/>
      <c r="M4" s="188"/>
      <c r="N4" s="190"/>
      <c r="P4" s="184"/>
      <c r="Q4" s="184"/>
      <c r="R4" s="184"/>
      <c r="S4" s="184"/>
      <c r="T4" s="184"/>
      <c r="Z4" s="95" t="str">
        <f t="array" ref="Z4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２年４組</v>
      </c>
    </row>
    <row r="5" spans="1:26" ht="20.25" customHeight="1">
      <c r="C5" t="s">
        <v>303</v>
      </c>
      <c r="D5" t="s">
        <v>304</v>
      </c>
      <c r="I5" s="191">
        <v>2</v>
      </c>
      <c r="J5" s="185"/>
      <c r="K5" s="187" t="s">
        <v>296</v>
      </c>
      <c r="L5" s="187" t="s">
        <v>303</v>
      </c>
      <c r="M5" s="187" t="s">
        <v>305</v>
      </c>
      <c r="N5" s="189" t="s">
        <v>306</v>
      </c>
      <c r="Z5" s="95" t="str">
        <f t="array" ref="Z5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２年５組</v>
      </c>
    </row>
    <row r="6" spans="1:26" ht="20.25" customHeight="1">
      <c r="C6" t="s">
        <v>305</v>
      </c>
      <c r="D6" t="s">
        <v>306</v>
      </c>
      <c r="I6" s="192"/>
      <c r="J6" s="186"/>
      <c r="K6" s="188"/>
      <c r="L6" s="188"/>
      <c r="M6" s="188"/>
      <c r="N6" s="190"/>
      <c r="Z6" s="95" t="str">
        <f t="array" ref="Z6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２年６組</v>
      </c>
    </row>
    <row r="7" spans="1:26" ht="20.25" customHeight="1">
      <c r="C7" t="s">
        <v>307</v>
      </c>
      <c r="D7" t="s">
        <v>308</v>
      </c>
      <c r="I7" s="191">
        <v>3</v>
      </c>
      <c r="J7" s="185" t="s">
        <v>313</v>
      </c>
      <c r="K7" s="187" t="s">
        <v>297</v>
      </c>
      <c r="L7" s="187" t="s">
        <v>299</v>
      </c>
      <c r="M7" s="187" t="s">
        <v>301</v>
      </c>
      <c r="N7" s="189" t="s">
        <v>310</v>
      </c>
      <c r="Z7" s="95" t="str">
        <f t="array" ref="Z7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２年７組</v>
      </c>
    </row>
    <row r="8" spans="1:26" ht="20.25" customHeight="1">
      <c r="C8" t="s">
        <v>309</v>
      </c>
      <c r="D8" t="s">
        <v>310</v>
      </c>
      <c r="I8" s="192"/>
      <c r="J8" s="186"/>
      <c r="K8" s="188"/>
      <c r="L8" s="188"/>
      <c r="M8" s="188"/>
      <c r="N8" s="190"/>
      <c r="Z8" s="95" t="str">
        <f t="array" ref="Z8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３年１組</v>
      </c>
    </row>
    <row r="9" spans="1:26" ht="20.25" customHeight="1">
      <c r="C9" t="s">
        <v>311</v>
      </c>
      <c r="D9" t="s">
        <v>312</v>
      </c>
      <c r="I9" s="191">
        <v>4</v>
      </c>
      <c r="J9" s="185"/>
      <c r="K9" s="187"/>
      <c r="L9" s="187"/>
      <c r="M9" s="187"/>
      <c r="N9" s="189" t="s">
        <v>304</v>
      </c>
      <c r="Z9" s="95" t="str">
        <f t="array" ref="Z9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３年２組</v>
      </c>
    </row>
    <row r="10" spans="1:26" ht="20.25" customHeight="1">
      <c r="I10" s="192"/>
      <c r="J10" s="186"/>
      <c r="K10" s="188"/>
      <c r="L10" s="188"/>
      <c r="M10" s="188"/>
      <c r="N10" s="190"/>
      <c r="Z10" s="95" t="str">
        <f t="array" ref="Z10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３年３組</v>
      </c>
    </row>
    <row r="11" spans="1:26">
      <c r="I11" s="9" t="s">
        <v>41</v>
      </c>
      <c r="J11" s="71"/>
      <c r="K11" s="67"/>
      <c r="L11" s="67"/>
      <c r="M11" s="67"/>
      <c r="N11" s="75"/>
      <c r="Z11" s="95" t="str">
        <f t="array" ref="Z11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３年４組</v>
      </c>
    </row>
    <row r="12" spans="1:26" ht="20.25" customHeight="1">
      <c r="I12" s="191">
        <v>5</v>
      </c>
      <c r="J12" s="185" t="s">
        <v>300</v>
      </c>
      <c r="K12" s="187" t="s">
        <v>302</v>
      </c>
      <c r="L12" s="187" t="s">
        <v>302</v>
      </c>
      <c r="M12" s="187"/>
      <c r="N12" s="189"/>
      <c r="Z12" s="95" t="str">
        <f t="array" ref="Z12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３年５組</v>
      </c>
    </row>
    <row r="13" spans="1:26" ht="20.25" customHeight="1">
      <c r="I13" s="192"/>
      <c r="J13" s="186"/>
      <c r="K13" s="188"/>
      <c r="L13" s="188"/>
      <c r="M13" s="188"/>
      <c r="N13" s="190"/>
      <c r="Z13" s="95" t="str">
        <f t="array" ref="Z13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３年６組</v>
      </c>
    </row>
    <row r="14" spans="1:26" ht="20.25" customHeight="1">
      <c r="I14" s="191">
        <v>6</v>
      </c>
      <c r="J14" s="185"/>
      <c r="K14" s="187"/>
      <c r="L14" s="187"/>
      <c r="M14" s="187"/>
      <c r="N14" s="189"/>
      <c r="Z14" s="95" t="str">
        <f t="array" ref="Z14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３年７組</v>
      </c>
    </row>
    <row r="15" spans="1:26" ht="20.25" customHeight="1">
      <c r="I15" s="192"/>
      <c r="J15" s="186"/>
      <c r="K15" s="188"/>
      <c r="L15" s="188"/>
      <c r="M15" s="188"/>
      <c r="N15" s="190"/>
      <c r="Z15" s="95" t="str">
        <f t="array" ref="Z15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特別支援</v>
      </c>
    </row>
    <row r="16" spans="1:26">
      <c r="Z16" s="95" t="str">
        <f t="array" ref="Z16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>外国人</v>
      </c>
    </row>
    <row r="17" spans="26:26">
      <c r="Z17" s="95" t="str">
        <f t="array" ref="Z17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18" spans="26:26">
      <c r="Z18" s="95" t="str">
        <f t="array" ref="Z18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19" spans="26:26">
      <c r="Z19" s="95" t="str">
        <f t="array" ref="Z19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0" spans="26:26">
      <c r="Z20" s="95" t="str">
        <f t="array" ref="Z20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1" spans="26:26">
      <c r="Z21" s="95" t="str">
        <f t="array" ref="Z21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2" spans="26:26">
      <c r="Z22" s="95" t="str">
        <f t="array" ref="Z22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3" spans="26:26">
      <c r="Z23" s="95" t="str">
        <f t="array" ref="Z23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4" spans="26:26">
      <c r="Z24" s="95" t="str">
        <f t="array" ref="Z24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5" spans="26:26">
      <c r="Z25" s="95" t="str">
        <f t="array" ref="Z25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6" spans="26:26">
      <c r="Z26" s="95" t="str">
        <f t="array" ref="Z26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7" spans="26:26">
      <c r="Z27" s="95" t="str">
        <f t="array" ref="Z27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8" spans="26:26">
      <c r="Z28" s="95" t="str">
        <f t="array" ref="Z28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29" spans="26:26">
      <c r="Z29" s="95" t="str">
        <f t="array" ref="Z29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0" spans="26:26">
      <c r="Z30" s="95" t="str">
        <f t="array" ref="Z30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1" spans="26:26">
      <c r="Z31" s="95" t="str">
        <f t="array" ref="Z31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2" spans="26:26">
      <c r="Z32" s="95" t="str">
        <f t="array" ref="Z32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3" spans="26:26">
      <c r="Z33" s="95" t="str">
        <f t="array" ref="Z33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4" spans="26:26">
      <c r="Z34" s="95" t="str">
        <f t="array" ref="Z34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5" spans="26:26">
      <c r="Z35" s="95" t="str">
        <f t="array" ref="Z35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6" spans="26:26">
      <c r="Z36" s="95" t="str">
        <f t="array" ref="Z36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7" spans="26:26">
      <c r="Z37" s="95" t="str">
        <f t="array" ref="Z37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8" spans="26:26">
      <c r="Z38" s="95" t="str">
        <f t="array" ref="Z38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39" spans="26:26">
      <c r="Z39" s="95" t="str">
        <f t="array" ref="Z39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40" spans="26:26">
      <c r="Z40" s="95" t="str">
        <f t="array" ref="Z40">IFERROR(
  INDEX($B$3:$F$13,
    MOD(
      SMALL(
        IF($B$3:$F$13&lt;&gt;"", (COLUMN($B$3:$F$13)-COLUMN($B$3))*ROWS($B$3:$F$13) + (ROW($B$3:$F$13)-ROW($B$3)+1)),
        ROW()-ROW($Z$1)+1
      )-1,
      ROWS($B$3:$F$13)
    )+1,
    INT(
      (SMALL(
         IF($B$3:$F$13&lt;&gt;"", (COLUMN($B$3:$F$13)-COLUMN($B$3))*ROWS($B$3:$F$13) + (ROW($B$3:$F$13)-ROW($B$3)+1)),
         ROW()-ROW($Z$1)+1
      )-1)/ROWS($B$3:$F$13)
    )+1
  ),
"")</f>
        <v/>
      </c>
    </row>
    <row r="41" spans="26:26">
      <c r="Z41" t="str">
        <f t="array" ref="Z41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  <row r="42" spans="26:26">
      <c r="Z42" t="str">
        <f t="array" ref="Z42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  <row r="43" spans="26:26">
      <c r="Z43" t="str">
        <f t="array" ref="Z43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  <row r="44" spans="26:26">
      <c r="Z44" t="str">
        <f t="array" ref="Z44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  <row r="45" spans="26:26">
      <c r="Z45" t="str">
        <f t="array" ref="Z45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  <row r="46" spans="26:26">
      <c r="Z46" t="str">
        <f t="array" ref="Z46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  <row r="47" spans="26:26">
      <c r="Z47" t="str">
        <f t="array" ref="Z47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  <row r="48" spans="26:26">
      <c r="Z48" t="str">
        <f t="array" ref="Z48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  <row r="49" spans="26:26">
      <c r="Z49" t="str">
        <f t="array" ref="Z49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  <row r="50" spans="26:26">
      <c r="Z50" t="str">
        <f t="array" ref="Z50">IFERROR(
  INDEX(#REF!,
    MOD(
      SMALL(
        IF(#REF!&lt;&gt;"", (COLUMN(#REF!)-COLUMN($B$3))*ROWS(#REF!) + (ROW(#REF!)-ROW($B$3)+1)),
        ROW()-ROW($Z$1)+1
      )-1,
      ROWS(#REF!)
    )+1,
    INT(
      (SMALL(
         IF(#REF!&lt;&gt;"", (COLUMN(#REF!)-COLUMN($B$3))*ROWS(#REF!) + (ROW(#REF!)-ROW($B$3)+1)),
         ROW()-ROW($Z$1)+1
      )-1)/ROWS(#REF!)
    )+1
  ),
"")</f>
        <v/>
      </c>
    </row>
  </sheetData>
  <mergeCells count="37">
    <mergeCell ref="I12:I13"/>
    <mergeCell ref="I14:I15"/>
    <mergeCell ref="J7:J8"/>
    <mergeCell ref="I3:I4"/>
    <mergeCell ref="I5:I6"/>
    <mergeCell ref="I7:I8"/>
    <mergeCell ref="I9:I10"/>
    <mergeCell ref="J3:J4"/>
    <mergeCell ref="K3:K4"/>
    <mergeCell ref="L3:L4"/>
    <mergeCell ref="M3:M4"/>
    <mergeCell ref="K5:K6"/>
    <mergeCell ref="J5:J6"/>
    <mergeCell ref="K9:K10"/>
    <mergeCell ref="L5:L6"/>
    <mergeCell ref="M5:M6"/>
    <mergeCell ref="L7:L8"/>
    <mergeCell ref="M7:M8"/>
    <mergeCell ref="L9:L10"/>
    <mergeCell ref="M9:M10"/>
    <mergeCell ref="K7:K8"/>
    <mergeCell ref="P2:T4"/>
    <mergeCell ref="J14:J15"/>
    <mergeCell ref="K14:K15"/>
    <mergeCell ref="L14:L15"/>
    <mergeCell ref="M14:M15"/>
    <mergeCell ref="N14:N15"/>
    <mergeCell ref="N12:N13"/>
    <mergeCell ref="M12:M13"/>
    <mergeCell ref="L12:L13"/>
    <mergeCell ref="K12:K13"/>
    <mergeCell ref="J9:J10"/>
    <mergeCell ref="N3:N4"/>
    <mergeCell ref="N5:N6"/>
    <mergeCell ref="N7:N8"/>
    <mergeCell ref="N9:N10"/>
    <mergeCell ref="J12:J13"/>
  </mergeCells>
  <phoneticPr fontId="1"/>
  <conditionalFormatting sqref="J3:N15">
    <cfRule type="expression" dxfId="50" priority="11">
      <formula>AND(J3&lt;&gt;"",COUNTIF($F:$F,J3)&gt;0)</formula>
    </cfRule>
    <cfRule type="expression" dxfId="49" priority="12">
      <formula>AND(J3&lt;&gt;"",COUNTIF($E:$E,J3)&gt;0)</formula>
    </cfRule>
    <cfRule type="expression" dxfId="48" priority="13">
      <formula>AND(J3&lt;&gt;"",COUNTIF($D:$D,J3)&gt;0)</formula>
    </cfRule>
    <cfRule type="expression" dxfId="47" priority="14">
      <formula>AND(J3&lt;&gt;"",COUNTIF($C:$C,J3)&gt;0)</formula>
    </cfRule>
    <cfRule type="expression" dxfId="46" priority="15">
      <formula>AND(J3&lt;&gt;"",COUNTIF($B:$B,J3)&gt;0)</formula>
    </cfRule>
  </conditionalFormatting>
  <dataValidations count="1">
    <dataValidation type="list" allowBlank="1" showInputMessage="1" showErrorMessage="1" sqref="J3:N15" xr:uid="{00000000-0002-0000-0100-000000000000}">
      <formula1>$Z:$Z</formula1>
    </dataValidation>
  </dataValidations>
  <pageMargins left="0.7" right="0.7" top="0.75" bottom="0.75" header="0.3" footer="0.3"/>
  <pageSetup paperSize="9" scale="8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5" r:id="rId4" name="Button 3">
              <controlPr defaultSize="0" print="0" autoFill="0" autoPict="0" macro="[0]!統合伊神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6">
    <pageSetUpPr fitToPage="1"/>
  </sheetPr>
  <dimension ref="A1:AW64"/>
  <sheetViews>
    <sheetView view="pageBreakPreview" zoomScale="71" zoomScaleNormal="100" zoomScaleSheetLayoutView="71" workbookViewId="0">
      <selection activeCell="AU3" sqref="AU3"/>
    </sheetView>
  </sheetViews>
  <sheetFormatPr defaultColWidth="3.625" defaultRowHeight="20.100000000000001" customHeight="1"/>
  <cols>
    <col min="1" max="1" width="1" style="43" customWidth="1"/>
    <col min="2" max="8" width="5.625" style="13" customWidth="1"/>
    <col min="9" max="10" width="1" style="43" customWidth="1"/>
    <col min="11" max="17" width="5.625" style="13" customWidth="1"/>
    <col min="18" max="19" width="1" style="43" customWidth="1"/>
    <col min="20" max="26" width="5.625" style="13" customWidth="1"/>
    <col min="27" max="28" width="1" style="43" customWidth="1"/>
    <col min="29" max="35" width="5.625" style="13" customWidth="1"/>
    <col min="36" max="36" width="2" style="43" customWidth="1"/>
    <col min="37" max="38" width="3.625" style="13"/>
    <col min="39" max="39" width="12.375" style="13" bestFit="1" customWidth="1"/>
    <col min="40" max="40" width="11.375" style="13" bestFit="1" customWidth="1"/>
    <col min="41" max="41" width="2.375" style="153" customWidth="1"/>
    <col min="42" max="42" width="5.75" style="159" customWidth="1"/>
    <col min="43" max="43" width="2.375" style="156" customWidth="1"/>
    <col min="44" max="44" width="2.375" style="153" customWidth="1"/>
    <col min="45" max="45" width="5.75" style="159" customWidth="1"/>
    <col min="46" max="46" width="2.375" style="156" customWidth="1"/>
    <col min="47" max="47" width="2.375" style="13" customWidth="1"/>
    <col min="48" max="48" width="5.75" style="159" customWidth="1"/>
    <col min="49" max="49" width="2.375" style="156" customWidth="1"/>
    <col min="50" max="16384" width="3.625" style="13"/>
  </cols>
  <sheetData>
    <row r="1" spans="1:49" ht="24" customHeight="1">
      <c r="A1" s="151">
        <f>DATE(B1,1,1)</f>
        <v>45658</v>
      </c>
      <c r="B1" s="200">
        <v>2025</v>
      </c>
      <c r="C1" s="200"/>
      <c r="D1" s="200"/>
      <c r="E1" s="200"/>
      <c r="F1" s="201" t="s">
        <v>0</v>
      </c>
      <c r="G1" s="201"/>
      <c r="H1" s="201"/>
      <c r="I1" s="201"/>
      <c r="J1" s="201"/>
      <c r="K1" s="201"/>
      <c r="L1" s="202">
        <f>B1-2018</f>
        <v>7</v>
      </c>
      <c r="M1" s="202"/>
      <c r="N1" s="202"/>
      <c r="O1" s="202"/>
      <c r="P1" s="11"/>
      <c r="Q1" s="11"/>
      <c r="R1" s="46"/>
      <c r="S1" s="46"/>
      <c r="U1" s="163"/>
      <c r="V1" s="30"/>
      <c r="W1" s="164"/>
      <c r="X1" s="163"/>
      <c r="Y1" s="30"/>
      <c r="Z1" s="164"/>
      <c r="AA1" s="165"/>
      <c r="AB1" s="165"/>
      <c r="AC1" s="163"/>
      <c r="AD1" s="30"/>
      <c r="AE1" s="164"/>
      <c r="AG1" s="12"/>
      <c r="AH1" s="12"/>
      <c r="AI1" s="12"/>
      <c r="AJ1" s="46"/>
      <c r="AK1" s="12"/>
      <c r="AL1" s="12"/>
      <c r="AM1" s="41"/>
      <c r="AN1" s="42"/>
    </row>
    <row r="2" spans="1:49" ht="18.75" customHeight="1">
      <c r="A2" s="43">
        <f>リンク用!A2</f>
        <v>3</v>
      </c>
      <c r="B2" s="14">
        <v>4</v>
      </c>
      <c r="C2" s="15" t="s">
        <v>1</v>
      </c>
      <c r="D2" s="16" t="str">
        <f>TEXT(DATE(2000,B2,1),"mmmm")</f>
        <v>April</v>
      </c>
      <c r="E2" s="17"/>
      <c r="F2" s="16"/>
      <c r="G2" s="16"/>
      <c r="H2" s="17"/>
      <c r="K2" s="14">
        <f>IF(B2+1&gt;12,B2-11,B2+1)</f>
        <v>5</v>
      </c>
      <c r="L2" s="15" t="s">
        <v>1</v>
      </c>
      <c r="M2" s="16" t="str">
        <f>TEXT(DATE(2000,K2,1),"mmmm")</f>
        <v>May</v>
      </c>
      <c r="N2" s="17"/>
      <c r="O2" s="17"/>
      <c r="P2" s="17"/>
      <c r="Q2" s="17"/>
      <c r="T2" s="14">
        <f>IF(K2+1&gt;12,K2-11,K2+1)</f>
        <v>6</v>
      </c>
      <c r="U2" s="15" t="s">
        <v>1</v>
      </c>
      <c r="V2" s="16" t="str">
        <f>TEXT(DATE(2000,T2,1),"mmmm")</f>
        <v>June</v>
      </c>
      <c r="W2" s="17"/>
      <c r="X2" s="17"/>
      <c r="Y2" s="17"/>
      <c r="Z2" s="17"/>
      <c r="AC2" s="14">
        <f>IF(T2+1&gt;12,T2-11,T2+1)</f>
        <v>7</v>
      </c>
      <c r="AD2" s="15" t="s">
        <v>1</v>
      </c>
      <c r="AE2" s="16" t="str">
        <f>TEXT(DATE(2000,AC2,1),"mmmm")</f>
        <v>July</v>
      </c>
      <c r="AF2" s="17"/>
      <c r="AG2" s="17"/>
      <c r="AH2" s="17"/>
      <c r="AI2" s="17"/>
      <c r="AO2" s="154" t="str">
        <f>"P"&amp;リンク用!$BA$1+2</f>
        <v>P57</v>
      </c>
      <c r="AP2" s="160" t="s">
        <v>293</v>
      </c>
      <c r="AQ2" s="157" t="str">
        <f>AO2</f>
        <v>P57</v>
      </c>
      <c r="AR2" s="154" t="str">
        <f>"P"&amp;リンク用!$BA$1+12</f>
        <v>P67</v>
      </c>
      <c r="AS2" s="162" t="s">
        <v>291</v>
      </c>
      <c r="AT2" s="157" t="str">
        <f>AR2</f>
        <v>P67</v>
      </c>
      <c r="AU2" s="152" t="str">
        <f>"P"&amp;リンク用!$BA$1+22</f>
        <v>P77</v>
      </c>
      <c r="AV2" s="162" t="s">
        <v>292</v>
      </c>
      <c r="AW2" s="157" t="str">
        <f>AU2</f>
        <v>P77</v>
      </c>
    </row>
    <row r="3" spans="1:49" ht="13.5" customHeight="1">
      <c r="B3" s="18" t="s">
        <v>2</v>
      </c>
      <c r="C3" s="19" t="s">
        <v>3</v>
      </c>
      <c r="D3" s="19" t="s">
        <v>4</v>
      </c>
      <c r="E3" s="19" t="s">
        <v>5</v>
      </c>
      <c r="F3" s="19" t="s">
        <v>6</v>
      </c>
      <c r="G3" s="19" t="s">
        <v>7</v>
      </c>
      <c r="H3" s="20" t="s">
        <v>8</v>
      </c>
      <c r="K3" s="18" t="s">
        <v>2</v>
      </c>
      <c r="L3" s="19" t="s">
        <v>3</v>
      </c>
      <c r="M3" s="19" t="s">
        <v>4</v>
      </c>
      <c r="N3" s="19" t="s">
        <v>5</v>
      </c>
      <c r="O3" s="19" t="s">
        <v>6</v>
      </c>
      <c r="P3" s="19" t="s">
        <v>7</v>
      </c>
      <c r="Q3" s="20" t="s">
        <v>8</v>
      </c>
      <c r="T3" s="18" t="s">
        <v>2</v>
      </c>
      <c r="U3" s="19" t="s">
        <v>3</v>
      </c>
      <c r="V3" s="19" t="s">
        <v>4</v>
      </c>
      <c r="W3" s="19" t="s">
        <v>5</v>
      </c>
      <c r="X3" s="19" t="s">
        <v>6</v>
      </c>
      <c r="Y3" s="19" t="s">
        <v>7</v>
      </c>
      <c r="Z3" s="20" t="s">
        <v>8</v>
      </c>
      <c r="AC3" s="18" t="s">
        <v>2</v>
      </c>
      <c r="AD3" s="19" t="s">
        <v>3</v>
      </c>
      <c r="AE3" s="19" t="s">
        <v>4</v>
      </c>
      <c r="AF3" s="19" t="s">
        <v>5</v>
      </c>
      <c r="AG3" s="19" t="s">
        <v>6</v>
      </c>
      <c r="AH3" s="19" t="s">
        <v>7</v>
      </c>
      <c r="AI3" s="20" t="s">
        <v>8</v>
      </c>
    </row>
    <row r="4" spans="1:49" ht="38.25" customHeight="1">
      <c r="A4" s="43" t="str">
        <f>"P"&amp;ROUND((E4-$A$1)/7,0)-'1週目'!$P$2+$A$2</f>
        <v>P3</v>
      </c>
      <c r="B4" s="21">
        <f>EOMONTH(DATE($B$1,B2-1,1),0)+1-WEEKDAY(EOMONTH(DATE($B$1,B2-1,1),0)+1)+1</f>
        <v>45746</v>
      </c>
      <c r="C4" s="22">
        <f t="shared" ref="C4:H9" si="0">B4+1</f>
        <v>45747</v>
      </c>
      <c r="D4" s="22">
        <f t="shared" si="0"/>
        <v>45748</v>
      </c>
      <c r="E4" s="22">
        <f t="shared" si="0"/>
        <v>45749</v>
      </c>
      <c r="F4" s="22">
        <f t="shared" si="0"/>
        <v>45750</v>
      </c>
      <c r="G4" s="22">
        <f t="shared" ref="G4:G9" si="1">F4+1</f>
        <v>45751</v>
      </c>
      <c r="H4" s="23">
        <f t="shared" si="0"/>
        <v>45752</v>
      </c>
      <c r="I4" s="43" t="str">
        <f>"P"&amp;ROUND((E4-$A$1)/7,0)-'1週目'!$P$2+$A$2</f>
        <v>P3</v>
      </c>
      <c r="J4" s="43" t="str">
        <f>"P"&amp;ROUND((N4-$A$1)/7,0)-'1週目'!$P$2+$A$2</f>
        <v>P7</v>
      </c>
      <c r="K4" s="21">
        <f>EOMONTH(DATE(IF(K2&lt;$B$2,1,0)+$B$1,K2-1,1),0)+1-WEEKDAY(EOMONTH(DATE(IF(K2&lt;$B$2,1,0)+$B$1,K2-1,1),0)+1)+1</f>
        <v>45774</v>
      </c>
      <c r="L4" s="22">
        <f t="shared" ref="L4:Q9" si="2">K4+1</f>
        <v>45775</v>
      </c>
      <c r="M4" s="22">
        <f t="shared" si="2"/>
        <v>45776</v>
      </c>
      <c r="N4" s="22">
        <f t="shared" si="2"/>
        <v>45777</v>
      </c>
      <c r="O4" s="22">
        <f t="shared" si="2"/>
        <v>45778</v>
      </c>
      <c r="P4" s="22">
        <f t="shared" si="2"/>
        <v>45779</v>
      </c>
      <c r="Q4" s="23">
        <f t="shared" si="2"/>
        <v>45780</v>
      </c>
      <c r="R4" s="43" t="str">
        <f>"P"&amp;ROUND((N4-$A$1)/7,0)-'1週目'!$P$2+$A$2</f>
        <v>P7</v>
      </c>
      <c r="S4" s="43" t="str">
        <f>"P"&amp;ROUND((W4-$A$1)/7,0)-'1週目'!$P$2+$A$2</f>
        <v>P12</v>
      </c>
      <c r="T4" s="21">
        <f>EOMONTH(DATE(IF(T2&lt;$B$2,1,0)+$B$1,T2-1,1),0)+1-WEEKDAY(EOMONTH(DATE(IF(T2&lt;$B$2,1,0)+$B$1,T2-1,1),0)+1)+1</f>
        <v>45809</v>
      </c>
      <c r="U4" s="22">
        <f t="shared" ref="U4:Z9" si="3">T4+1</f>
        <v>45810</v>
      </c>
      <c r="V4" s="22">
        <f t="shared" si="3"/>
        <v>45811</v>
      </c>
      <c r="W4" s="22">
        <f t="shared" si="3"/>
        <v>45812</v>
      </c>
      <c r="X4" s="22">
        <f t="shared" si="3"/>
        <v>45813</v>
      </c>
      <c r="Y4" s="22">
        <f t="shared" si="3"/>
        <v>45814</v>
      </c>
      <c r="Z4" s="23">
        <f t="shared" si="3"/>
        <v>45815</v>
      </c>
      <c r="AA4" s="43" t="str">
        <f>"P"&amp;ROUND((W4-$A$1)/7,0)-'1週目'!$P$2+$A$2</f>
        <v>P12</v>
      </c>
      <c r="AB4" s="43" t="str">
        <f>"P"&amp;ROUND((AF4-$A$1)/7,0)-'1週目'!$P$2+$A$2</f>
        <v>P16</v>
      </c>
      <c r="AC4" s="21">
        <f>EOMONTH(DATE(IF(AC2&lt;$B$2,1,0)+$B$1,AC2-1,1),0)+1-WEEKDAY(EOMONTH(DATE(IF(AC2&lt;$B$2,1,0)+$B$1,AC2-1,1),0)+1)+1</f>
        <v>45837</v>
      </c>
      <c r="AD4" s="22">
        <f t="shared" ref="AD4:AI9" si="4">AC4+1</f>
        <v>45838</v>
      </c>
      <c r="AE4" s="22">
        <f t="shared" si="4"/>
        <v>45839</v>
      </c>
      <c r="AF4" s="22">
        <f t="shared" si="4"/>
        <v>45840</v>
      </c>
      <c r="AG4" s="22">
        <f t="shared" si="4"/>
        <v>45841</v>
      </c>
      <c r="AH4" s="22">
        <f t="shared" si="4"/>
        <v>45842</v>
      </c>
      <c r="AI4" s="23">
        <f t="shared" si="4"/>
        <v>45843</v>
      </c>
      <c r="AJ4" s="43" t="str">
        <f>"P"&amp;ROUND((AF4-$A$1)/7,0)-'1週目'!$P$2+$A$2</f>
        <v>P16</v>
      </c>
      <c r="AM4" s="36"/>
    </row>
    <row r="5" spans="1:49" ht="38.25" customHeight="1">
      <c r="A5" s="43" t="str">
        <f>"P"&amp;ROUND((E5-$A$1)/7,0)-'1週目'!$P$2+$A$2</f>
        <v>P4</v>
      </c>
      <c r="B5" s="21">
        <f>H4+1</f>
        <v>45753</v>
      </c>
      <c r="C5" s="22">
        <f t="shared" si="0"/>
        <v>45754</v>
      </c>
      <c r="D5" s="22">
        <f t="shared" si="0"/>
        <v>45755</v>
      </c>
      <c r="E5" s="22">
        <f t="shared" si="0"/>
        <v>45756</v>
      </c>
      <c r="F5" s="22">
        <f t="shared" si="0"/>
        <v>45757</v>
      </c>
      <c r="G5" s="22">
        <f t="shared" si="1"/>
        <v>45758</v>
      </c>
      <c r="H5" s="23">
        <f t="shared" si="0"/>
        <v>45759</v>
      </c>
      <c r="I5" s="43" t="str">
        <f>"P"&amp;ROUND((E5-$A$1)/7,0)-'1週目'!$P$2+$A$2</f>
        <v>P4</v>
      </c>
      <c r="J5" s="43" t="str">
        <f>"P"&amp;ROUND((N5-$A$1)/7,0)-'1週目'!$P$2+$A$2</f>
        <v>P8</v>
      </c>
      <c r="K5" s="21">
        <f>Q4+1</f>
        <v>45781</v>
      </c>
      <c r="L5" s="22">
        <f t="shared" si="2"/>
        <v>45782</v>
      </c>
      <c r="M5" s="22">
        <f t="shared" si="2"/>
        <v>45783</v>
      </c>
      <c r="N5" s="22">
        <f t="shared" si="2"/>
        <v>45784</v>
      </c>
      <c r="O5" s="22">
        <f t="shared" si="2"/>
        <v>45785</v>
      </c>
      <c r="P5" s="22">
        <f t="shared" si="2"/>
        <v>45786</v>
      </c>
      <c r="Q5" s="23">
        <f t="shared" si="2"/>
        <v>45787</v>
      </c>
      <c r="R5" s="43" t="str">
        <f>"P"&amp;ROUND((N5-$A$1)/7,0)-'1週目'!$P$2+$A$2</f>
        <v>P8</v>
      </c>
      <c r="S5" s="43" t="str">
        <f>"P"&amp;ROUND((W5-$A$1)/7,0)-'1週目'!$P$2+$A$2</f>
        <v>P13</v>
      </c>
      <c r="T5" s="21">
        <f>Z4+1</f>
        <v>45816</v>
      </c>
      <c r="U5" s="22">
        <f t="shared" si="3"/>
        <v>45817</v>
      </c>
      <c r="V5" s="22">
        <f t="shared" si="3"/>
        <v>45818</v>
      </c>
      <c r="W5" s="22">
        <f t="shared" si="3"/>
        <v>45819</v>
      </c>
      <c r="X5" s="22">
        <f t="shared" si="3"/>
        <v>45820</v>
      </c>
      <c r="Y5" s="22">
        <f t="shared" si="3"/>
        <v>45821</v>
      </c>
      <c r="Z5" s="23">
        <f t="shared" si="3"/>
        <v>45822</v>
      </c>
      <c r="AA5" s="43" t="str">
        <f>"P"&amp;ROUND((W5-$A$1)/7,0)-'1週目'!$P$2+$A$2</f>
        <v>P13</v>
      </c>
      <c r="AB5" s="43" t="str">
        <f>"P"&amp;ROUND((AF5-$A$1)/7,0)-'1週目'!$P$2+$A$2</f>
        <v>P17</v>
      </c>
      <c r="AC5" s="21">
        <f>AI4+1</f>
        <v>45844</v>
      </c>
      <c r="AD5" s="22">
        <f t="shared" si="4"/>
        <v>45845</v>
      </c>
      <c r="AE5" s="22">
        <f t="shared" si="4"/>
        <v>45846</v>
      </c>
      <c r="AF5" s="22">
        <f t="shared" si="4"/>
        <v>45847</v>
      </c>
      <c r="AG5" s="22">
        <f t="shared" si="4"/>
        <v>45848</v>
      </c>
      <c r="AH5" s="22">
        <f t="shared" si="4"/>
        <v>45849</v>
      </c>
      <c r="AI5" s="23">
        <f t="shared" si="4"/>
        <v>45850</v>
      </c>
      <c r="AJ5" s="43" t="str">
        <f>"P"&amp;ROUND((AF5-$A$1)/7,0)-'1週目'!$P$2+$A$2</f>
        <v>P17</v>
      </c>
    </row>
    <row r="6" spans="1:49" ht="38.25" customHeight="1">
      <c r="A6" s="43" t="str">
        <f>"P"&amp;ROUND((E6-$A$1)/7,0)-'1週目'!$P$2+$A$2</f>
        <v>P5</v>
      </c>
      <c r="B6" s="21">
        <f>H5+1</f>
        <v>45760</v>
      </c>
      <c r="C6" s="22">
        <f t="shared" si="0"/>
        <v>45761</v>
      </c>
      <c r="D6" s="22">
        <f t="shared" si="0"/>
        <v>45762</v>
      </c>
      <c r="E6" s="22">
        <f t="shared" si="0"/>
        <v>45763</v>
      </c>
      <c r="F6" s="22">
        <f t="shared" si="0"/>
        <v>45764</v>
      </c>
      <c r="G6" s="22">
        <f t="shared" si="1"/>
        <v>45765</v>
      </c>
      <c r="H6" s="23">
        <f t="shared" si="0"/>
        <v>45766</v>
      </c>
      <c r="I6" s="43" t="str">
        <f>"P"&amp;ROUND((E6-$A$1)/7,0)-'1週目'!$P$2+$A$2</f>
        <v>P5</v>
      </c>
      <c r="J6" s="43" t="str">
        <f>"P"&amp;ROUND((N6-$A$1)/7,0)-'1週目'!$P$2+$A$2</f>
        <v>P9</v>
      </c>
      <c r="K6" s="21">
        <f>Q5+1</f>
        <v>45788</v>
      </c>
      <c r="L6" s="22">
        <f t="shared" si="2"/>
        <v>45789</v>
      </c>
      <c r="M6" s="22">
        <f t="shared" si="2"/>
        <v>45790</v>
      </c>
      <c r="N6" s="22">
        <f t="shared" si="2"/>
        <v>45791</v>
      </c>
      <c r="O6" s="22">
        <f t="shared" si="2"/>
        <v>45792</v>
      </c>
      <c r="P6" s="22">
        <f t="shared" si="2"/>
        <v>45793</v>
      </c>
      <c r="Q6" s="23">
        <f t="shared" si="2"/>
        <v>45794</v>
      </c>
      <c r="R6" s="43" t="str">
        <f>"P"&amp;ROUND((N6-$A$1)/7,0)-'1週目'!$P$2+$A$2</f>
        <v>P9</v>
      </c>
      <c r="S6" s="43" t="str">
        <f>"P"&amp;ROUND((W6-$A$1)/7,0)-'1週目'!$P$2+$A$2</f>
        <v>P14</v>
      </c>
      <c r="T6" s="21">
        <f>Z5+1</f>
        <v>45823</v>
      </c>
      <c r="U6" s="22">
        <f t="shared" si="3"/>
        <v>45824</v>
      </c>
      <c r="V6" s="22">
        <f t="shared" si="3"/>
        <v>45825</v>
      </c>
      <c r="W6" s="22">
        <f t="shared" si="3"/>
        <v>45826</v>
      </c>
      <c r="X6" s="22">
        <f t="shared" si="3"/>
        <v>45827</v>
      </c>
      <c r="Y6" s="22">
        <f t="shared" si="3"/>
        <v>45828</v>
      </c>
      <c r="Z6" s="23">
        <f t="shared" si="3"/>
        <v>45829</v>
      </c>
      <c r="AA6" s="43" t="str">
        <f>"P"&amp;ROUND((W6-$A$1)/7,0)-'1週目'!$P$2+$A$2</f>
        <v>P14</v>
      </c>
      <c r="AB6" s="43" t="str">
        <f>"P"&amp;ROUND((AF6-$A$1)/7,0)-'1週目'!$P$2+$A$2</f>
        <v>P18</v>
      </c>
      <c r="AC6" s="21">
        <f>AI5+1</f>
        <v>45851</v>
      </c>
      <c r="AD6" s="22">
        <f t="shared" si="4"/>
        <v>45852</v>
      </c>
      <c r="AE6" s="22">
        <f t="shared" si="4"/>
        <v>45853</v>
      </c>
      <c r="AF6" s="22">
        <f t="shared" si="4"/>
        <v>45854</v>
      </c>
      <c r="AG6" s="22">
        <f t="shared" si="4"/>
        <v>45855</v>
      </c>
      <c r="AH6" s="22">
        <f t="shared" si="4"/>
        <v>45856</v>
      </c>
      <c r="AI6" s="23">
        <f t="shared" si="4"/>
        <v>45857</v>
      </c>
      <c r="AJ6" s="43" t="str">
        <f>"P"&amp;ROUND((AF6-$A$1)/7,0)-'1週目'!$P$2+$A$2</f>
        <v>P18</v>
      </c>
    </row>
    <row r="7" spans="1:49" ht="38.25" customHeight="1">
      <c r="A7" s="43" t="str">
        <f>"P"&amp;ROUND((E7-$A$1)/7,0)-'1週目'!$P$2+$A$2</f>
        <v>P6</v>
      </c>
      <c r="B7" s="21">
        <f>H6+1</f>
        <v>45767</v>
      </c>
      <c r="C7" s="22">
        <f t="shared" si="0"/>
        <v>45768</v>
      </c>
      <c r="D7" s="22">
        <f t="shared" si="0"/>
        <v>45769</v>
      </c>
      <c r="E7" s="22">
        <f t="shared" si="0"/>
        <v>45770</v>
      </c>
      <c r="F7" s="22">
        <f t="shared" si="0"/>
        <v>45771</v>
      </c>
      <c r="G7" s="22">
        <f t="shared" si="1"/>
        <v>45772</v>
      </c>
      <c r="H7" s="23">
        <f t="shared" si="0"/>
        <v>45773</v>
      </c>
      <c r="I7" s="43" t="str">
        <f>"P"&amp;ROUND((E7-$A$1)/7,0)-'1週目'!$P$2+$A$2</f>
        <v>P6</v>
      </c>
      <c r="J7" s="43" t="str">
        <f>"P"&amp;ROUND((N7-$A$1)/7,0)-'1週目'!$P$2+$A$2</f>
        <v>P10</v>
      </c>
      <c r="K7" s="21">
        <f>Q6+1</f>
        <v>45795</v>
      </c>
      <c r="L7" s="22">
        <f t="shared" si="2"/>
        <v>45796</v>
      </c>
      <c r="M7" s="22">
        <f t="shared" si="2"/>
        <v>45797</v>
      </c>
      <c r="N7" s="22">
        <f t="shared" si="2"/>
        <v>45798</v>
      </c>
      <c r="O7" s="22">
        <f t="shared" si="2"/>
        <v>45799</v>
      </c>
      <c r="P7" s="22">
        <f t="shared" si="2"/>
        <v>45800</v>
      </c>
      <c r="Q7" s="23">
        <f t="shared" si="2"/>
        <v>45801</v>
      </c>
      <c r="R7" s="43" t="str">
        <f>"P"&amp;ROUND((N7-$A$1)/7,0)-'1週目'!$P$2+$A$2</f>
        <v>P10</v>
      </c>
      <c r="S7" s="43" t="str">
        <f>"P"&amp;ROUND((W7-$A$1)/7,0)-'1週目'!$P$2+$A$2</f>
        <v>P15</v>
      </c>
      <c r="T7" s="21">
        <f>Z6+1</f>
        <v>45830</v>
      </c>
      <c r="U7" s="22">
        <f t="shared" si="3"/>
        <v>45831</v>
      </c>
      <c r="V7" s="22">
        <f t="shared" si="3"/>
        <v>45832</v>
      </c>
      <c r="W7" s="22">
        <f t="shared" si="3"/>
        <v>45833</v>
      </c>
      <c r="X7" s="22">
        <f t="shared" si="3"/>
        <v>45834</v>
      </c>
      <c r="Y7" s="22">
        <f t="shared" si="3"/>
        <v>45835</v>
      </c>
      <c r="Z7" s="23">
        <f t="shared" si="3"/>
        <v>45836</v>
      </c>
      <c r="AA7" s="43" t="str">
        <f>"P"&amp;ROUND((W7-$A$1)/7,0)-'1週目'!$P$2+$A$2</f>
        <v>P15</v>
      </c>
      <c r="AB7" s="43" t="str">
        <f>"P"&amp;ROUND((AF7-$A$1)/7,0)-'1週目'!$P$2+$A$2</f>
        <v>P19</v>
      </c>
      <c r="AC7" s="21">
        <f>AI6+1</f>
        <v>45858</v>
      </c>
      <c r="AD7" s="22">
        <f t="shared" si="4"/>
        <v>45859</v>
      </c>
      <c r="AE7" s="22">
        <f t="shared" si="4"/>
        <v>45860</v>
      </c>
      <c r="AF7" s="22">
        <f t="shared" si="4"/>
        <v>45861</v>
      </c>
      <c r="AG7" s="22">
        <f t="shared" si="4"/>
        <v>45862</v>
      </c>
      <c r="AH7" s="22">
        <f t="shared" si="4"/>
        <v>45863</v>
      </c>
      <c r="AI7" s="23">
        <f t="shared" si="4"/>
        <v>45864</v>
      </c>
      <c r="AJ7" s="43" t="str">
        <f>"P"&amp;ROUND((AF7-$A$1)/7,0)-'1週目'!$P$2+$A$2</f>
        <v>P19</v>
      </c>
    </row>
    <row r="8" spans="1:49" ht="38.25" customHeight="1">
      <c r="A8" s="43" t="str">
        <f>"P"&amp;ROUND((E8-$A$1)/7,0)-'1週目'!$P$2+$A$2</f>
        <v>P7</v>
      </c>
      <c r="B8" s="21">
        <f>H7+1</f>
        <v>45774</v>
      </c>
      <c r="C8" s="22">
        <f t="shared" si="0"/>
        <v>45775</v>
      </c>
      <c r="D8" s="22">
        <f t="shared" si="0"/>
        <v>45776</v>
      </c>
      <c r="E8" s="22">
        <f t="shared" si="0"/>
        <v>45777</v>
      </c>
      <c r="F8" s="22">
        <f t="shared" si="0"/>
        <v>45778</v>
      </c>
      <c r="G8" s="22">
        <f t="shared" si="1"/>
        <v>45779</v>
      </c>
      <c r="H8" s="23">
        <f t="shared" si="0"/>
        <v>45780</v>
      </c>
      <c r="I8" s="43" t="str">
        <f>"P"&amp;ROUND((E8-$A$1)/7,0)-'1週目'!$P$2+$A$2</f>
        <v>P7</v>
      </c>
      <c r="J8" s="43" t="str">
        <f>"P"&amp;ROUND((N8-$A$1)/7,0)-'1週目'!$P$2+$A$2</f>
        <v>P11</v>
      </c>
      <c r="K8" s="21">
        <f>Q7+1</f>
        <v>45802</v>
      </c>
      <c r="L8" s="22">
        <f t="shared" si="2"/>
        <v>45803</v>
      </c>
      <c r="M8" s="22">
        <f t="shared" si="2"/>
        <v>45804</v>
      </c>
      <c r="N8" s="22">
        <f t="shared" si="2"/>
        <v>45805</v>
      </c>
      <c r="O8" s="22">
        <f t="shared" si="2"/>
        <v>45806</v>
      </c>
      <c r="P8" s="22">
        <f t="shared" si="2"/>
        <v>45807</v>
      </c>
      <c r="Q8" s="23">
        <f t="shared" si="2"/>
        <v>45808</v>
      </c>
      <c r="R8" s="43" t="str">
        <f>"P"&amp;ROUND((N8-$A$1)/7,0)-'1週目'!$P$2+$A$2</f>
        <v>P11</v>
      </c>
      <c r="S8" s="43" t="str">
        <f>"P"&amp;ROUND((W8-$A$1)/7,0)-'1週目'!$P$2+$A$2</f>
        <v>P16</v>
      </c>
      <c r="T8" s="21">
        <f>Z7+1</f>
        <v>45837</v>
      </c>
      <c r="U8" s="22">
        <f t="shared" si="3"/>
        <v>45838</v>
      </c>
      <c r="V8" s="22">
        <f t="shared" si="3"/>
        <v>45839</v>
      </c>
      <c r="W8" s="22">
        <f t="shared" si="3"/>
        <v>45840</v>
      </c>
      <c r="X8" s="22">
        <f t="shared" si="3"/>
        <v>45841</v>
      </c>
      <c r="Y8" s="22">
        <f t="shared" si="3"/>
        <v>45842</v>
      </c>
      <c r="Z8" s="23">
        <f t="shared" si="3"/>
        <v>45843</v>
      </c>
      <c r="AA8" s="43" t="str">
        <f>"P"&amp;ROUND((W8-$A$1)/7,0)-'1週目'!$P$2+$A$2</f>
        <v>P16</v>
      </c>
      <c r="AB8" s="43" t="str">
        <f>"P"&amp;ROUND((AF8-$A$1)/7,0)-'1週目'!$P$2+$A$2</f>
        <v>P20</v>
      </c>
      <c r="AC8" s="21">
        <f>AI7+1</f>
        <v>45865</v>
      </c>
      <c r="AD8" s="22">
        <f t="shared" si="4"/>
        <v>45866</v>
      </c>
      <c r="AE8" s="22">
        <f t="shared" si="4"/>
        <v>45867</v>
      </c>
      <c r="AF8" s="22">
        <f t="shared" si="4"/>
        <v>45868</v>
      </c>
      <c r="AG8" s="22">
        <f t="shared" si="4"/>
        <v>45869</v>
      </c>
      <c r="AH8" s="22">
        <f t="shared" si="4"/>
        <v>45870</v>
      </c>
      <c r="AI8" s="23">
        <f t="shared" si="4"/>
        <v>45871</v>
      </c>
      <c r="AJ8" s="43" t="str">
        <f>"P"&amp;ROUND((AF8-$A$1)/7,0)-'1週目'!$P$2+$A$2</f>
        <v>P20</v>
      </c>
    </row>
    <row r="9" spans="1:49" ht="38.25" customHeight="1">
      <c r="A9" s="43" t="str">
        <f>"P"&amp;ROUND((E9-$A$1)/7,0)-'1週目'!$P$2+$A$2</f>
        <v>P8</v>
      </c>
      <c r="B9" s="24">
        <f>H8+1</f>
        <v>45781</v>
      </c>
      <c r="C9" s="25">
        <f t="shared" si="0"/>
        <v>45782</v>
      </c>
      <c r="D9" s="25">
        <f t="shared" si="0"/>
        <v>45783</v>
      </c>
      <c r="E9" s="25">
        <f t="shared" si="0"/>
        <v>45784</v>
      </c>
      <c r="F9" s="25">
        <f t="shared" si="0"/>
        <v>45785</v>
      </c>
      <c r="G9" s="25">
        <f t="shared" si="1"/>
        <v>45786</v>
      </c>
      <c r="H9" s="26">
        <f t="shared" si="0"/>
        <v>45787</v>
      </c>
      <c r="I9" s="43" t="str">
        <f>"P"&amp;ROUND((E9-$A$1)/7,0)-'1週目'!$P$2+$A$2</f>
        <v>P8</v>
      </c>
      <c r="J9" s="43" t="str">
        <f>"P"&amp;ROUND((N9-$A$1)/7,0)-'1週目'!$P$2+$A$2</f>
        <v>P12</v>
      </c>
      <c r="K9" s="24">
        <f>Q8+1</f>
        <v>45809</v>
      </c>
      <c r="L9" s="25">
        <f t="shared" si="2"/>
        <v>45810</v>
      </c>
      <c r="M9" s="25">
        <f t="shared" si="2"/>
        <v>45811</v>
      </c>
      <c r="N9" s="25">
        <f t="shared" si="2"/>
        <v>45812</v>
      </c>
      <c r="O9" s="25">
        <f t="shared" si="2"/>
        <v>45813</v>
      </c>
      <c r="P9" s="25">
        <f t="shared" si="2"/>
        <v>45814</v>
      </c>
      <c r="Q9" s="26">
        <f t="shared" si="2"/>
        <v>45815</v>
      </c>
      <c r="R9" s="43" t="str">
        <f>"P"&amp;ROUND((N9-$A$1)/7,0)-'1週目'!$P$2+$A$2</f>
        <v>P12</v>
      </c>
      <c r="S9" s="43" t="str">
        <f>"P"&amp;ROUND((W9-$A$1)/7,0)-'1週目'!$P$2+$A$2</f>
        <v>P17</v>
      </c>
      <c r="T9" s="24">
        <f>Z8+1</f>
        <v>45844</v>
      </c>
      <c r="U9" s="25">
        <f t="shared" si="3"/>
        <v>45845</v>
      </c>
      <c r="V9" s="25">
        <f t="shared" si="3"/>
        <v>45846</v>
      </c>
      <c r="W9" s="25">
        <f t="shared" si="3"/>
        <v>45847</v>
      </c>
      <c r="X9" s="25">
        <f t="shared" si="3"/>
        <v>45848</v>
      </c>
      <c r="Y9" s="25">
        <f t="shared" si="3"/>
        <v>45849</v>
      </c>
      <c r="Z9" s="26">
        <f t="shared" si="3"/>
        <v>45850</v>
      </c>
      <c r="AA9" s="43" t="str">
        <f>"P"&amp;ROUND((W9-$A$1)/7,0)-'1週目'!$P$2+$A$2</f>
        <v>P17</v>
      </c>
      <c r="AB9" s="43" t="str">
        <f>"P"&amp;ROUND((AF9-$A$1)/7,0)-'1週目'!$P$2+$A$2</f>
        <v>P21</v>
      </c>
      <c r="AC9" s="24">
        <f>AI8+1</f>
        <v>45872</v>
      </c>
      <c r="AD9" s="25">
        <f t="shared" si="4"/>
        <v>45873</v>
      </c>
      <c r="AE9" s="25">
        <f t="shared" si="4"/>
        <v>45874</v>
      </c>
      <c r="AF9" s="25">
        <f t="shared" si="4"/>
        <v>45875</v>
      </c>
      <c r="AG9" s="25">
        <f t="shared" si="4"/>
        <v>45876</v>
      </c>
      <c r="AH9" s="25">
        <f t="shared" si="4"/>
        <v>45877</v>
      </c>
      <c r="AI9" s="26">
        <f t="shared" si="4"/>
        <v>45878</v>
      </c>
      <c r="AJ9" s="43" t="str">
        <f>"P"&amp;ROUND((AF9-$A$1)/7,0)-'1週目'!$P$2+$A$2</f>
        <v>P21</v>
      </c>
    </row>
    <row r="10" spans="1:49" ht="6" customHeight="1">
      <c r="C10" s="27"/>
      <c r="D10" s="27"/>
      <c r="E10" s="27"/>
      <c r="F10" s="27"/>
      <c r="G10" s="27"/>
      <c r="L10" s="27"/>
      <c r="M10" s="27"/>
      <c r="N10" s="27"/>
      <c r="O10" s="27"/>
      <c r="P10" s="27"/>
      <c r="U10" s="27"/>
      <c r="V10" s="27"/>
      <c r="W10" s="27"/>
      <c r="X10" s="27"/>
      <c r="Y10" s="27"/>
      <c r="AD10" s="27"/>
      <c r="AE10" s="27"/>
      <c r="AF10" s="27"/>
      <c r="AG10" s="27"/>
      <c r="AH10" s="27"/>
    </row>
    <row r="11" spans="1:49" ht="18.75" customHeight="1">
      <c r="B11" s="14">
        <f>IF(AC2+1&gt;12,AC2-11,AC2+1)</f>
        <v>8</v>
      </c>
      <c r="C11" s="28" t="s">
        <v>1</v>
      </c>
      <c r="D11" s="29" t="str">
        <f>TEXT(DATE(2000,B11,1),"mmmm")</f>
        <v>August</v>
      </c>
      <c r="E11" s="30"/>
      <c r="F11" s="30"/>
      <c r="G11" s="30"/>
      <c r="H11" s="17"/>
      <c r="K11" s="14">
        <f>IF(B11+1&gt;12,B11-11,B11+1)</f>
        <v>9</v>
      </c>
      <c r="L11" s="28" t="s">
        <v>1</v>
      </c>
      <c r="M11" s="29" t="str">
        <f>TEXT(DATE(2000,K11,1),"mmmm")</f>
        <v>September</v>
      </c>
      <c r="N11" s="30"/>
      <c r="O11" s="30"/>
      <c r="P11" s="30"/>
      <c r="Q11" s="17"/>
      <c r="T11" s="14">
        <f>IF(K11+1&gt;12,K11-11,K11+1)</f>
        <v>10</v>
      </c>
      <c r="U11" s="28" t="s">
        <v>1</v>
      </c>
      <c r="V11" s="29" t="str">
        <f>TEXT(DATE(2000,T11,1),"mmmm")</f>
        <v>October</v>
      </c>
      <c r="W11" s="29"/>
      <c r="X11" s="29"/>
      <c r="Y11" s="29"/>
      <c r="Z11" s="16"/>
      <c r="AC11" s="14">
        <f>IF(T11+1&gt;12,T11-11,T11+1)</f>
        <v>11</v>
      </c>
      <c r="AD11" s="28" t="s">
        <v>1</v>
      </c>
      <c r="AE11" s="29" t="str">
        <f>TEXT(DATE(2000,AC11,1),"mmmm")</f>
        <v>November</v>
      </c>
      <c r="AF11" s="29"/>
      <c r="AG11" s="29"/>
      <c r="AH11" s="29"/>
      <c r="AI11" s="16"/>
    </row>
    <row r="12" spans="1:49" ht="13.5" customHeight="1">
      <c r="B12" s="18" t="s">
        <v>2</v>
      </c>
      <c r="C12" s="31" t="s">
        <v>3</v>
      </c>
      <c r="D12" s="31" t="s">
        <v>4</v>
      </c>
      <c r="E12" s="31" t="s">
        <v>5</v>
      </c>
      <c r="F12" s="31" t="s">
        <v>6</v>
      </c>
      <c r="G12" s="31" t="s">
        <v>7</v>
      </c>
      <c r="H12" s="20" t="s">
        <v>8</v>
      </c>
      <c r="K12" s="18" t="s">
        <v>2</v>
      </c>
      <c r="L12" s="31" t="s">
        <v>3</v>
      </c>
      <c r="M12" s="31" t="s">
        <v>4</v>
      </c>
      <c r="N12" s="31" t="s">
        <v>5</v>
      </c>
      <c r="O12" s="31" t="s">
        <v>6</v>
      </c>
      <c r="P12" s="31" t="s">
        <v>7</v>
      </c>
      <c r="Q12" s="20" t="s">
        <v>8</v>
      </c>
      <c r="T12" s="18" t="s">
        <v>2</v>
      </c>
      <c r="U12" s="31" t="s">
        <v>3</v>
      </c>
      <c r="V12" s="31" t="s">
        <v>4</v>
      </c>
      <c r="W12" s="31" t="s">
        <v>5</v>
      </c>
      <c r="X12" s="31" t="s">
        <v>6</v>
      </c>
      <c r="Y12" s="31" t="s">
        <v>7</v>
      </c>
      <c r="Z12" s="20" t="s">
        <v>8</v>
      </c>
      <c r="AC12" s="18" t="s">
        <v>2</v>
      </c>
      <c r="AD12" s="31" t="s">
        <v>3</v>
      </c>
      <c r="AE12" s="31" t="s">
        <v>4</v>
      </c>
      <c r="AF12" s="31" t="s">
        <v>5</v>
      </c>
      <c r="AG12" s="31" t="s">
        <v>6</v>
      </c>
      <c r="AH12" s="31" t="s">
        <v>7</v>
      </c>
      <c r="AI12" s="20" t="s">
        <v>8</v>
      </c>
    </row>
    <row r="13" spans="1:49" ht="38.25" customHeight="1">
      <c r="A13" s="43" t="str">
        <f>"P"&amp;ROUND((E13-$A$1)/7,0)-'1週目'!$P$2+$A$2</f>
        <v>P20</v>
      </c>
      <c r="B13" s="21">
        <f>EOMONTH(DATE(IF(B11&lt;$B$2,1,0)+$B$1,B11-1,1),0)+1-WEEKDAY(EOMONTH(DATE(IF(B11&lt;$B$2,1,0)+$B$1,B11-1,1),0)+1)+1</f>
        <v>45865</v>
      </c>
      <c r="C13" s="22">
        <f t="shared" ref="C13:H18" si="5">B13+1</f>
        <v>45866</v>
      </c>
      <c r="D13" s="22">
        <f t="shared" si="5"/>
        <v>45867</v>
      </c>
      <c r="E13" s="22">
        <f t="shared" si="5"/>
        <v>45868</v>
      </c>
      <c r="F13" s="22">
        <f t="shared" si="5"/>
        <v>45869</v>
      </c>
      <c r="G13" s="22">
        <f t="shared" ref="G13:G18" si="6">F13+1</f>
        <v>45870</v>
      </c>
      <c r="H13" s="23">
        <f t="shared" si="5"/>
        <v>45871</v>
      </c>
      <c r="I13" s="43" t="str">
        <f>"P"&amp;ROUND((E13-$A$1)/7,0)-'1週目'!$P$2+$A$2</f>
        <v>P20</v>
      </c>
      <c r="J13" s="43" t="str">
        <f>"P"&amp;ROUND((N13-$A$1)/7,0)-'1週目'!$P$2+$A$2</f>
        <v>P25</v>
      </c>
      <c r="K13" s="21">
        <f>EOMONTH(DATE(IF(K11&lt;$B$2,1,0)+$B$1,K11-1,1),0)+1-WEEKDAY(EOMONTH(DATE(IF(K11&lt;$B$2,1,0)+$B$1,K11-1,1),0)+1)+1</f>
        <v>45900</v>
      </c>
      <c r="L13" s="22">
        <f t="shared" ref="L13:Q18" si="7">K13+1</f>
        <v>45901</v>
      </c>
      <c r="M13" s="22">
        <f t="shared" si="7"/>
        <v>45902</v>
      </c>
      <c r="N13" s="22">
        <f t="shared" si="7"/>
        <v>45903</v>
      </c>
      <c r="O13" s="22">
        <f t="shared" si="7"/>
        <v>45904</v>
      </c>
      <c r="P13" s="22">
        <f t="shared" si="7"/>
        <v>45905</v>
      </c>
      <c r="Q13" s="23">
        <f t="shared" si="7"/>
        <v>45906</v>
      </c>
      <c r="R13" s="43" t="str">
        <f>"P"&amp;ROUND((N13-$A$1)/7,0)-'1週目'!$P$2+$A$2</f>
        <v>P25</v>
      </c>
      <c r="S13" s="43" t="str">
        <f>"P"&amp;ROUND((W13-$A$1)/7,0)-'1週目'!$P$2+$A$2</f>
        <v>P29</v>
      </c>
      <c r="T13" s="21">
        <f>EOMONTH(DATE(IF(T11&lt;$B$2,1,0)+$B$1,T11-1,1),0)+1-WEEKDAY(EOMONTH(DATE(IF(T11&lt;$B$2,1,0)+$B$1,T11-1,1),0)+1)+1</f>
        <v>45928</v>
      </c>
      <c r="U13" s="22">
        <f t="shared" ref="U13:Z18" si="8">T13+1</f>
        <v>45929</v>
      </c>
      <c r="V13" s="22">
        <f t="shared" si="8"/>
        <v>45930</v>
      </c>
      <c r="W13" s="22">
        <f t="shared" si="8"/>
        <v>45931</v>
      </c>
      <c r="X13" s="22">
        <f t="shared" si="8"/>
        <v>45932</v>
      </c>
      <c r="Y13" s="22">
        <f t="shared" si="8"/>
        <v>45933</v>
      </c>
      <c r="Z13" s="23">
        <f t="shared" si="8"/>
        <v>45934</v>
      </c>
      <c r="AA13" s="43" t="str">
        <f>"P"&amp;ROUND((W13-$A$1)/7,0)-'1週目'!$P$2+$A$2</f>
        <v>P29</v>
      </c>
      <c r="AB13" s="43" t="str">
        <f>"P"&amp;ROUND((AF13-$A$1)/7,0)-'1週目'!$P$2+$A$2</f>
        <v>P33</v>
      </c>
      <c r="AC13" s="21">
        <f>EOMONTH(DATE(IF(AC11&lt;$B$2,1,0)+$B$1,AC11-1,1),0)+1-WEEKDAY(EOMONTH(DATE(IF(AC11&lt;$B$2,1,0)+$B$1,AC11-1,1),0)+1)+1</f>
        <v>45956</v>
      </c>
      <c r="AD13" s="22">
        <f t="shared" ref="AD13:AI18" si="9">AC13+1</f>
        <v>45957</v>
      </c>
      <c r="AE13" s="22">
        <f t="shared" si="9"/>
        <v>45958</v>
      </c>
      <c r="AF13" s="22">
        <f t="shared" si="9"/>
        <v>45959</v>
      </c>
      <c r="AG13" s="22">
        <f t="shared" si="9"/>
        <v>45960</v>
      </c>
      <c r="AH13" s="22">
        <f t="shared" si="9"/>
        <v>45961</v>
      </c>
      <c r="AI13" s="23">
        <f t="shared" si="9"/>
        <v>45962</v>
      </c>
      <c r="AJ13" s="43" t="str">
        <f>"P"&amp;ROUND((AF13-$A$1)/7,0)-'1週目'!$P$2+$A$2</f>
        <v>P33</v>
      </c>
    </row>
    <row r="14" spans="1:49" ht="38.25" customHeight="1">
      <c r="A14" s="43" t="str">
        <f>"P"&amp;ROUND((E14-$A$1)/7,0)-'1週目'!$P$2+$A$2</f>
        <v>P21</v>
      </c>
      <c r="B14" s="21">
        <f>H13+1</f>
        <v>45872</v>
      </c>
      <c r="C14" s="22">
        <f t="shared" si="5"/>
        <v>45873</v>
      </c>
      <c r="D14" s="22">
        <f t="shared" si="5"/>
        <v>45874</v>
      </c>
      <c r="E14" s="22">
        <f t="shared" si="5"/>
        <v>45875</v>
      </c>
      <c r="F14" s="22">
        <f t="shared" si="5"/>
        <v>45876</v>
      </c>
      <c r="G14" s="22">
        <f t="shared" si="6"/>
        <v>45877</v>
      </c>
      <c r="H14" s="23">
        <f t="shared" si="5"/>
        <v>45878</v>
      </c>
      <c r="I14" s="43" t="str">
        <f>"P"&amp;ROUND((E14-$A$1)/7,0)-'1週目'!$P$2+$A$2</f>
        <v>P21</v>
      </c>
      <c r="J14" s="43" t="str">
        <f>"P"&amp;ROUND((N14-$A$1)/7,0)-'1週目'!$P$2+$A$2</f>
        <v>P26</v>
      </c>
      <c r="K14" s="21">
        <f>Q13+1</f>
        <v>45907</v>
      </c>
      <c r="L14" s="22">
        <f t="shared" si="7"/>
        <v>45908</v>
      </c>
      <c r="M14" s="22">
        <f t="shared" si="7"/>
        <v>45909</v>
      </c>
      <c r="N14" s="22">
        <f t="shared" si="7"/>
        <v>45910</v>
      </c>
      <c r="O14" s="22">
        <f t="shared" si="7"/>
        <v>45911</v>
      </c>
      <c r="P14" s="22">
        <f t="shared" si="7"/>
        <v>45912</v>
      </c>
      <c r="Q14" s="23">
        <f t="shared" si="7"/>
        <v>45913</v>
      </c>
      <c r="R14" s="43" t="str">
        <f>"P"&amp;ROUND((N14-$A$1)/7,0)-'1週目'!$P$2+$A$2</f>
        <v>P26</v>
      </c>
      <c r="S14" s="43" t="str">
        <f>"P"&amp;ROUND((W14-$A$1)/7,0)-'1週目'!$P$2+$A$2</f>
        <v>P30</v>
      </c>
      <c r="T14" s="21">
        <f>Z13+1</f>
        <v>45935</v>
      </c>
      <c r="U14" s="22">
        <f t="shared" si="8"/>
        <v>45936</v>
      </c>
      <c r="V14" s="22">
        <f t="shared" si="8"/>
        <v>45937</v>
      </c>
      <c r="W14" s="22">
        <f t="shared" si="8"/>
        <v>45938</v>
      </c>
      <c r="X14" s="22">
        <f t="shared" si="8"/>
        <v>45939</v>
      </c>
      <c r="Y14" s="22">
        <f t="shared" si="8"/>
        <v>45940</v>
      </c>
      <c r="Z14" s="23">
        <f t="shared" si="8"/>
        <v>45941</v>
      </c>
      <c r="AA14" s="43" t="str">
        <f>"P"&amp;ROUND((W14-$A$1)/7,0)-'1週目'!$P$2+$A$2</f>
        <v>P30</v>
      </c>
      <c r="AB14" s="43" t="str">
        <f>"P"&amp;ROUND((AF14-$A$1)/7,0)-'1週目'!$P$2+$A$2</f>
        <v>P34</v>
      </c>
      <c r="AC14" s="21">
        <f>AI13+1</f>
        <v>45963</v>
      </c>
      <c r="AD14" s="22">
        <f t="shared" si="9"/>
        <v>45964</v>
      </c>
      <c r="AE14" s="22">
        <f t="shared" si="9"/>
        <v>45965</v>
      </c>
      <c r="AF14" s="22">
        <f t="shared" si="9"/>
        <v>45966</v>
      </c>
      <c r="AG14" s="22">
        <f t="shared" si="9"/>
        <v>45967</v>
      </c>
      <c r="AH14" s="22">
        <f t="shared" si="9"/>
        <v>45968</v>
      </c>
      <c r="AI14" s="23">
        <f t="shared" si="9"/>
        <v>45969</v>
      </c>
      <c r="AJ14" s="43" t="str">
        <f>"P"&amp;ROUND((AF14-$A$1)/7,0)-'1週目'!$P$2+$A$2</f>
        <v>P34</v>
      </c>
    </row>
    <row r="15" spans="1:49" ht="38.25" customHeight="1">
      <c r="A15" s="43" t="str">
        <f>"P"&amp;ROUND((E15-$A$1)/7,0)-'1週目'!$P$2+$A$2</f>
        <v>P22</v>
      </c>
      <c r="B15" s="21">
        <f>H14+1</f>
        <v>45879</v>
      </c>
      <c r="C15" s="22">
        <f t="shared" si="5"/>
        <v>45880</v>
      </c>
      <c r="D15" s="22">
        <f t="shared" si="5"/>
        <v>45881</v>
      </c>
      <c r="E15" s="22">
        <f t="shared" si="5"/>
        <v>45882</v>
      </c>
      <c r="F15" s="22">
        <f t="shared" si="5"/>
        <v>45883</v>
      </c>
      <c r="G15" s="22">
        <f t="shared" si="6"/>
        <v>45884</v>
      </c>
      <c r="H15" s="23">
        <f t="shared" si="5"/>
        <v>45885</v>
      </c>
      <c r="I15" s="43" t="str">
        <f>"P"&amp;ROUND((E15-$A$1)/7,0)-'1週目'!$P$2+$A$2</f>
        <v>P22</v>
      </c>
      <c r="J15" s="43" t="str">
        <f>"P"&amp;ROUND((N15-$A$1)/7,0)-'1週目'!$P$2+$A$2</f>
        <v>P27</v>
      </c>
      <c r="K15" s="21">
        <f>Q14+1</f>
        <v>45914</v>
      </c>
      <c r="L15" s="22">
        <f t="shared" si="7"/>
        <v>45915</v>
      </c>
      <c r="M15" s="22">
        <f t="shared" si="7"/>
        <v>45916</v>
      </c>
      <c r="N15" s="22">
        <f t="shared" si="7"/>
        <v>45917</v>
      </c>
      <c r="O15" s="22">
        <f t="shared" si="7"/>
        <v>45918</v>
      </c>
      <c r="P15" s="22">
        <f t="shared" si="7"/>
        <v>45919</v>
      </c>
      <c r="Q15" s="23">
        <f t="shared" si="7"/>
        <v>45920</v>
      </c>
      <c r="R15" s="43" t="str">
        <f>"P"&amp;ROUND((N15-$A$1)/7,0)-'1週目'!$P$2+$A$2</f>
        <v>P27</v>
      </c>
      <c r="S15" s="43" t="str">
        <f>"P"&amp;ROUND((W15-$A$1)/7,0)-'1週目'!$P$2+$A$2</f>
        <v>P31</v>
      </c>
      <c r="T15" s="21">
        <f>Z14+1</f>
        <v>45942</v>
      </c>
      <c r="U15" s="22">
        <f t="shared" si="8"/>
        <v>45943</v>
      </c>
      <c r="V15" s="22">
        <f t="shared" si="8"/>
        <v>45944</v>
      </c>
      <c r="W15" s="22">
        <f t="shared" si="8"/>
        <v>45945</v>
      </c>
      <c r="X15" s="22">
        <f t="shared" si="8"/>
        <v>45946</v>
      </c>
      <c r="Y15" s="22">
        <f t="shared" si="8"/>
        <v>45947</v>
      </c>
      <c r="Z15" s="23">
        <f t="shared" si="8"/>
        <v>45948</v>
      </c>
      <c r="AA15" s="43" t="str">
        <f>"P"&amp;ROUND((W15-$A$1)/7,0)-'1週目'!$P$2+$A$2</f>
        <v>P31</v>
      </c>
      <c r="AB15" s="43" t="str">
        <f>"P"&amp;ROUND((AF15-$A$1)/7,0)-'1週目'!$P$2+$A$2</f>
        <v>P35</v>
      </c>
      <c r="AC15" s="21">
        <f>AI14+1</f>
        <v>45970</v>
      </c>
      <c r="AD15" s="22">
        <f t="shared" si="9"/>
        <v>45971</v>
      </c>
      <c r="AE15" s="22">
        <f t="shared" si="9"/>
        <v>45972</v>
      </c>
      <c r="AF15" s="22">
        <f t="shared" si="9"/>
        <v>45973</v>
      </c>
      <c r="AG15" s="22">
        <f t="shared" si="9"/>
        <v>45974</v>
      </c>
      <c r="AH15" s="22">
        <f t="shared" si="9"/>
        <v>45975</v>
      </c>
      <c r="AI15" s="23">
        <f t="shared" si="9"/>
        <v>45976</v>
      </c>
      <c r="AJ15" s="43" t="str">
        <f>"P"&amp;ROUND((AF15-$A$1)/7,0)-'1週目'!$P$2+$A$2</f>
        <v>P35</v>
      </c>
    </row>
    <row r="16" spans="1:49" ht="38.25" customHeight="1">
      <c r="A16" s="43" t="str">
        <f>"P"&amp;ROUND((E16-$A$1)/7,0)-'1週目'!$P$2+$A$2</f>
        <v>P23</v>
      </c>
      <c r="B16" s="21">
        <f>H15+1</f>
        <v>45886</v>
      </c>
      <c r="C16" s="22">
        <f t="shared" si="5"/>
        <v>45887</v>
      </c>
      <c r="D16" s="22">
        <f t="shared" si="5"/>
        <v>45888</v>
      </c>
      <c r="E16" s="22">
        <f t="shared" si="5"/>
        <v>45889</v>
      </c>
      <c r="F16" s="22">
        <f t="shared" si="5"/>
        <v>45890</v>
      </c>
      <c r="G16" s="22">
        <f t="shared" si="6"/>
        <v>45891</v>
      </c>
      <c r="H16" s="23">
        <f t="shared" si="5"/>
        <v>45892</v>
      </c>
      <c r="I16" s="43" t="str">
        <f>"P"&amp;ROUND((E16-$A$1)/7,0)-'1週目'!$P$2+$A$2</f>
        <v>P23</v>
      </c>
      <c r="J16" s="43" t="str">
        <f>"P"&amp;ROUND((N16-$A$1)/7,0)-'1週目'!$P$2+$A$2</f>
        <v>P28</v>
      </c>
      <c r="K16" s="21">
        <f>Q15+1</f>
        <v>45921</v>
      </c>
      <c r="L16" s="22">
        <f t="shared" si="7"/>
        <v>45922</v>
      </c>
      <c r="M16" s="22">
        <f t="shared" si="7"/>
        <v>45923</v>
      </c>
      <c r="N16" s="22">
        <f t="shared" si="7"/>
        <v>45924</v>
      </c>
      <c r="O16" s="22">
        <f t="shared" si="7"/>
        <v>45925</v>
      </c>
      <c r="P16" s="22">
        <f t="shared" si="7"/>
        <v>45926</v>
      </c>
      <c r="Q16" s="23">
        <f t="shared" si="7"/>
        <v>45927</v>
      </c>
      <c r="R16" s="43" t="str">
        <f>"P"&amp;ROUND((N16-$A$1)/7,0)-'1週目'!$P$2+$A$2</f>
        <v>P28</v>
      </c>
      <c r="S16" s="43" t="str">
        <f>"P"&amp;ROUND((W16-$A$1)/7,0)-'1週目'!$P$2+$A$2</f>
        <v>P32</v>
      </c>
      <c r="T16" s="21">
        <f>Z15+1</f>
        <v>45949</v>
      </c>
      <c r="U16" s="22">
        <f t="shared" si="8"/>
        <v>45950</v>
      </c>
      <c r="V16" s="22">
        <f t="shared" si="8"/>
        <v>45951</v>
      </c>
      <c r="W16" s="22">
        <f t="shared" si="8"/>
        <v>45952</v>
      </c>
      <c r="X16" s="22">
        <f t="shared" si="8"/>
        <v>45953</v>
      </c>
      <c r="Y16" s="22">
        <f t="shared" si="8"/>
        <v>45954</v>
      </c>
      <c r="Z16" s="23">
        <f t="shared" si="8"/>
        <v>45955</v>
      </c>
      <c r="AA16" s="43" t="str">
        <f>"P"&amp;ROUND((W16-$A$1)/7,0)-'1週目'!$P$2+$A$2</f>
        <v>P32</v>
      </c>
      <c r="AB16" s="43" t="str">
        <f>"P"&amp;ROUND((AF16-$A$1)/7,0)-'1週目'!$P$2+$A$2</f>
        <v>P36</v>
      </c>
      <c r="AC16" s="21">
        <f>AI15+1</f>
        <v>45977</v>
      </c>
      <c r="AD16" s="22">
        <f t="shared" si="9"/>
        <v>45978</v>
      </c>
      <c r="AE16" s="22">
        <f t="shared" si="9"/>
        <v>45979</v>
      </c>
      <c r="AF16" s="22">
        <f t="shared" si="9"/>
        <v>45980</v>
      </c>
      <c r="AG16" s="22">
        <f t="shared" si="9"/>
        <v>45981</v>
      </c>
      <c r="AH16" s="22">
        <f t="shared" si="9"/>
        <v>45982</v>
      </c>
      <c r="AI16" s="23">
        <f t="shared" si="9"/>
        <v>45983</v>
      </c>
      <c r="AJ16" s="43" t="str">
        <f>"P"&amp;ROUND((AF16-$A$1)/7,0)-'1週目'!$P$2+$A$2</f>
        <v>P36</v>
      </c>
    </row>
    <row r="17" spans="1:49" ht="38.25" customHeight="1">
      <c r="A17" s="43" t="str">
        <f>"P"&amp;ROUND((E17-$A$1)/7,0)-'1週目'!$P$2+$A$2</f>
        <v>P24</v>
      </c>
      <c r="B17" s="21">
        <f>H16+1</f>
        <v>45893</v>
      </c>
      <c r="C17" s="22">
        <f t="shared" si="5"/>
        <v>45894</v>
      </c>
      <c r="D17" s="22">
        <f t="shared" si="5"/>
        <v>45895</v>
      </c>
      <c r="E17" s="22">
        <f t="shared" si="5"/>
        <v>45896</v>
      </c>
      <c r="F17" s="22">
        <f t="shared" si="5"/>
        <v>45897</v>
      </c>
      <c r="G17" s="22">
        <f t="shared" si="6"/>
        <v>45898</v>
      </c>
      <c r="H17" s="23">
        <f t="shared" si="5"/>
        <v>45899</v>
      </c>
      <c r="I17" s="43" t="str">
        <f>"P"&amp;ROUND((E17-$A$1)/7,0)-'1週目'!$P$2+$A$2</f>
        <v>P24</v>
      </c>
      <c r="J17" s="43" t="str">
        <f>"P"&amp;ROUND((N17-$A$1)/7,0)-'1週目'!$P$2+$A$2</f>
        <v>P29</v>
      </c>
      <c r="K17" s="21">
        <f>Q16+1</f>
        <v>45928</v>
      </c>
      <c r="L17" s="22">
        <f t="shared" si="7"/>
        <v>45929</v>
      </c>
      <c r="M17" s="22">
        <f t="shared" si="7"/>
        <v>45930</v>
      </c>
      <c r="N17" s="22">
        <f t="shared" si="7"/>
        <v>45931</v>
      </c>
      <c r="O17" s="22">
        <f t="shared" si="7"/>
        <v>45932</v>
      </c>
      <c r="P17" s="22">
        <f t="shared" si="7"/>
        <v>45933</v>
      </c>
      <c r="Q17" s="23">
        <f t="shared" si="7"/>
        <v>45934</v>
      </c>
      <c r="R17" s="43" t="str">
        <f>"P"&amp;ROUND((N17-$A$1)/7,0)-'1週目'!$P$2+$A$2</f>
        <v>P29</v>
      </c>
      <c r="S17" s="43" t="str">
        <f>"P"&amp;ROUND((W17-$A$1)/7,0)-'1週目'!$P$2+$A$2</f>
        <v>P33</v>
      </c>
      <c r="T17" s="21">
        <f>Z16+1</f>
        <v>45956</v>
      </c>
      <c r="U17" s="22">
        <f t="shared" si="8"/>
        <v>45957</v>
      </c>
      <c r="V17" s="22">
        <f t="shared" si="8"/>
        <v>45958</v>
      </c>
      <c r="W17" s="22">
        <f t="shared" si="8"/>
        <v>45959</v>
      </c>
      <c r="X17" s="22">
        <f t="shared" si="8"/>
        <v>45960</v>
      </c>
      <c r="Y17" s="22">
        <f t="shared" si="8"/>
        <v>45961</v>
      </c>
      <c r="Z17" s="23">
        <f t="shared" si="8"/>
        <v>45962</v>
      </c>
      <c r="AA17" s="43" t="str">
        <f>"P"&amp;ROUND((W17-$A$1)/7,0)-'1週目'!$P$2+$A$2</f>
        <v>P33</v>
      </c>
      <c r="AB17" s="43" t="str">
        <f>"P"&amp;ROUND((AF17-$A$1)/7,0)-'1週目'!$P$2+$A$2</f>
        <v>P37</v>
      </c>
      <c r="AC17" s="21">
        <f>AI16+1</f>
        <v>45984</v>
      </c>
      <c r="AD17" s="22">
        <f t="shared" si="9"/>
        <v>45985</v>
      </c>
      <c r="AE17" s="22">
        <f t="shared" si="9"/>
        <v>45986</v>
      </c>
      <c r="AF17" s="22">
        <f t="shared" si="9"/>
        <v>45987</v>
      </c>
      <c r="AG17" s="22">
        <f t="shared" si="9"/>
        <v>45988</v>
      </c>
      <c r="AH17" s="22">
        <f t="shared" si="9"/>
        <v>45989</v>
      </c>
      <c r="AI17" s="23">
        <f t="shared" si="9"/>
        <v>45990</v>
      </c>
      <c r="AJ17" s="43" t="str">
        <f>"P"&amp;ROUND((AF17-$A$1)/7,0)-'1週目'!$P$2+$A$2</f>
        <v>P37</v>
      </c>
    </row>
    <row r="18" spans="1:49" ht="38.25" customHeight="1">
      <c r="A18" s="43" t="str">
        <f>"P"&amp;ROUND((E18-$A$1)/7,0)-'1週目'!$P$2+$A$2</f>
        <v>P25</v>
      </c>
      <c r="B18" s="24">
        <f>H17+1</f>
        <v>45900</v>
      </c>
      <c r="C18" s="25">
        <f t="shared" si="5"/>
        <v>45901</v>
      </c>
      <c r="D18" s="25">
        <f t="shared" si="5"/>
        <v>45902</v>
      </c>
      <c r="E18" s="25">
        <f t="shared" si="5"/>
        <v>45903</v>
      </c>
      <c r="F18" s="25">
        <f t="shared" si="5"/>
        <v>45904</v>
      </c>
      <c r="G18" s="25">
        <f t="shared" si="6"/>
        <v>45905</v>
      </c>
      <c r="H18" s="26">
        <f t="shared" si="5"/>
        <v>45906</v>
      </c>
      <c r="I18" s="43" t="str">
        <f>"P"&amp;ROUND((E18-$A$1)/7,0)-'1週目'!$P$2+$A$2</f>
        <v>P25</v>
      </c>
      <c r="J18" s="43" t="str">
        <f>"P"&amp;ROUND((N18-$A$1)/7,0)-'1週目'!$P$2+$A$2</f>
        <v>P30</v>
      </c>
      <c r="K18" s="24">
        <f>Q17+1</f>
        <v>45935</v>
      </c>
      <c r="L18" s="25">
        <f t="shared" si="7"/>
        <v>45936</v>
      </c>
      <c r="M18" s="25">
        <f t="shared" si="7"/>
        <v>45937</v>
      </c>
      <c r="N18" s="25">
        <f t="shared" si="7"/>
        <v>45938</v>
      </c>
      <c r="O18" s="25">
        <f t="shared" si="7"/>
        <v>45939</v>
      </c>
      <c r="P18" s="25">
        <f t="shared" si="7"/>
        <v>45940</v>
      </c>
      <c r="Q18" s="26">
        <f t="shared" si="7"/>
        <v>45941</v>
      </c>
      <c r="R18" s="43" t="str">
        <f>"P"&amp;ROUND((N18-$A$1)/7,0)-'1週目'!$P$2+$A$2</f>
        <v>P30</v>
      </c>
      <c r="S18" s="43" t="str">
        <f>"P"&amp;ROUND((W18-$A$1)/7,0)-'1週目'!$P$2+$A$2</f>
        <v>P34</v>
      </c>
      <c r="T18" s="24">
        <f>Z17+1</f>
        <v>45963</v>
      </c>
      <c r="U18" s="25">
        <f t="shared" si="8"/>
        <v>45964</v>
      </c>
      <c r="V18" s="25">
        <f t="shared" si="8"/>
        <v>45965</v>
      </c>
      <c r="W18" s="25">
        <f t="shared" si="8"/>
        <v>45966</v>
      </c>
      <c r="X18" s="25">
        <f t="shared" si="8"/>
        <v>45967</v>
      </c>
      <c r="Y18" s="25">
        <f t="shared" si="8"/>
        <v>45968</v>
      </c>
      <c r="Z18" s="26">
        <f t="shared" si="8"/>
        <v>45969</v>
      </c>
      <c r="AA18" s="43" t="str">
        <f>"P"&amp;ROUND((W18-$A$1)/7,0)-'1週目'!$P$2+$A$2</f>
        <v>P34</v>
      </c>
      <c r="AB18" s="43" t="str">
        <f>"P"&amp;ROUND((AF18-$A$1)/7,0)-'1週目'!$P$2+$A$2</f>
        <v>P38</v>
      </c>
      <c r="AC18" s="24">
        <f>AI17+1</f>
        <v>45991</v>
      </c>
      <c r="AD18" s="25">
        <f t="shared" si="9"/>
        <v>45992</v>
      </c>
      <c r="AE18" s="25">
        <f t="shared" si="9"/>
        <v>45993</v>
      </c>
      <c r="AF18" s="25">
        <f t="shared" si="9"/>
        <v>45994</v>
      </c>
      <c r="AG18" s="25">
        <f t="shared" si="9"/>
        <v>45995</v>
      </c>
      <c r="AH18" s="25">
        <f t="shared" si="9"/>
        <v>45996</v>
      </c>
      <c r="AI18" s="26">
        <f t="shared" si="9"/>
        <v>45997</v>
      </c>
      <c r="AJ18" s="43" t="str">
        <f>"P"&amp;ROUND((AF18-$A$1)/7,0)-'1週目'!$P$2+$A$2</f>
        <v>P38</v>
      </c>
    </row>
    <row r="19" spans="1:49" ht="6" customHeight="1">
      <c r="C19" s="27"/>
      <c r="D19" s="27"/>
      <c r="E19" s="27"/>
      <c r="F19" s="27"/>
      <c r="G19" s="27"/>
      <c r="L19" s="27"/>
      <c r="M19" s="27"/>
      <c r="N19" s="27"/>
      <c r="O19" s="27"/>
      <c r="P19" s="27"/>
      <c r="U19" s="27"/>
      <c r="V19" s="27"/>
      <c r="W19" s="27"/>
      <c r="X19" s="27"/>
      <c r="Y19" s="27"/>
      <c r="AD19" s="27"/>
      <c r="AE19" s="27"/>
      <c r="AF19" s="27"/>
      <c r="AG19" s="27"/>
      <c r="AH19" s="27"/>
    </row>
    <row r="20" spans="1:49" s="32" customFormat="1" ht="18.75" customHeight="1">
      <c r="A20" s="43"/>
      <c r="B20" s="14">
        <f>IF(AC11+1&gt;12,AC11-11,AC11+1)</f>
        <v>12</v>
      </c>
      <c r="C20" s="28" t="s">
        <v>1</v>
      </c>
      <c r="D20" s="29" t="str">
        <f>TEXT(DATE(2000,B20,1),"mmmm")</f>
        <v>December</v>
      </c>
      <c r="E20" s="29"/>
      <c r="F20" s="29"/>
      <c r="G20" s="29"/>
      <c r="H20" s="16"/>
      <c r="I20" s="44"/>
      <c r="J20" s="44"/>
      <c r="K20" s="14">
        <f>IF(B20+1&gt;12,B20-11,B20+1)</f>
        <v>1</v>
      </c>
      <c r="L20" s="28" t="s">
        <v>1</v>
      </c>
      <c r="M20" s="29" t="str">
        <f>TEXT(DATE(2000,K20,1),"mmmm")</f>
        <v>January</v>
      </c>
      <c r="N20" s="29"/>
      <c r="O20" s="29"/>
      <c r="P20" s="29"/>
      <c r="Q20" s="16"/>
      <c r="R20" s="44"/>
      <c r="S20" s="44"/>
      <c r="T20" s="14">
        <f>IF(K20+1&gt;12,K20-11,K20+1)</f>
        <v>2</v>
      </c>
      <c r="U20" s="28" t="s">
        <v>1</v>
      </c>
      <c r="V20" s="29" t="str">
        <f>TEXT(DATE(2000,T20,1),"mmmm")</f>
        <v>February</v>
      </c>
      <c r="W20" s="29"/>
      <c r="X20" s="29"/>
      <c r="Y20" s="29"/>
      <c r="Z20" s="16"/>
      <c r="AA20" s="44"/>
      <c r="AB20" s="44"/>
      <c r="AC20" s="14">
        <f>IF(T20+1&gt;12,T20-11,T20+1)</f>
        <v>3</v>
      </c>
      <c r="AD20" s="28" t="s">
        <v>1</v>
      </c>
      <c r="AE20" s="29" t="str">
        <f>TEXT(DATE(2000,AC20,1),"mmmm")</f>
        <v>March</v>
      </c>
      <c r="AF20" s="29"/>
      <c r="AG20" s="29"/>
      <c r="AH20" s="29"/>
      <c r="AI20" s="16"/>
      <c r="AJ20" s="44"/>
      <c r="AM20" s="37"/>
      <c r="AO20" s="155"/>
      <c r="AP20" s="161"/>
      <c r="AQ20" s="158"/>
      <c r="AR20" s="155"/>
      <c r="AS20" s="161"/>
      <c r="AT20" s="158"/>
      <c r="AV20" s="161"/>
      <c r="AW20" s="158"/>
    </row>
    <row r="21" spans="1:49" ht="13.5" customHeight="1">
      <c r="B21" s="18" t="s">
        <v>2</v>
      </c>
      <c r="C21" s="31" t="s">
        <v>3</v>
      </c>
      <c r="D21" s="31" t="s">
        <v>4</v>
      </c>
      <c r="E21" s="31" t="s">
        <v>5</v>
      </c>
      <c r="F21" s="31" t="s">
        <v>6</v>
      </c>
      <c r="G21" s="31" t="s">
        <v>7</v>
      </c>
      <c r="H21" s="20" t="s">
        <v>8</v>
      </c>
      <c r="K21" s="18" t="s">
        <v>2</v>
      </c>
      <c r="L21" s="31" t="s">
        <v>3</v>
      </c>
      <c r="M21" s="31" t="s">
        <v>4</v>
      </c>
      <c r="N21" s="31" t="s">
        <v>5</v>
      </c>
      <c r="O21" s="31" t="s">
        <v>6</v>
      </c>
      <c r="P21" s="31" t="s">
        <v>7</v>
      </c>
      <c r="Q21" s="20" t="s">
        <v>8</v>
      </c>
      <c r="T21" s="18" t="s">
        <v>2</v>
      </c>
      <c r="U21" s="31" t="s">
        <v>3</v>
      </c>
      <c r="V21" s="31" t="s">
        <v>4</v>
      </c>
      <c r="W21" s="31" t="s">
        <v>5</v>
      </c>
      <c r="X21" s="31" t="s">
        <v>6</v>
      </c>
      <c r="Y21" s="31" t="s">
        <v>7</v>
      </c>
      <c r="Z21" s="20" t="s">
        <v>8</v>
      </c>
      <c r="AC21" s="18" t="s">
        <v>2</v>
      </c>
      <c r="AD21" s="31" t="s">
        <v>3</v>
      </c>
      <c r="AE21" s="31" t="s">
        <v>4</v>
      </c>
      <c r="AF21" s="31" t="s">
        <v>5</v>
      </c>
      <c r="AG21" s="31" t="s">
        <v>6</v>
      </c>
      <c r="AH21" s="31" t="s">
        <v>7</v>
      </c>
      <c r="AI21" s="20" t="s">
        <v>8</v>
      </c>
      <c r="AM21" s="36"/>
    </row>
    <row r="22" spans="1:49" ht="38.25" customHeight="1">
      <c r="A22" s="43" t="str">
        <f>"P"&amp;ROUND((E22-$A$1)/7,0)-'1週目'!$P$2+$A$2</f>
        <v>P38</v>
      </c>
      <c r="B22" s="21">
        <f>EOMONTH(DATE(IF(B20&lt;$B$2,1,0)+$B$1,B20-1,1),0)+1-WEEKDAY(EOMONTH(DATE(IF(B20&lt;$B$2,1,0)+$B$1,B20-1,1),0)+1)+1</f>
        <v>45991</v>
      </c>
      <c r="C22" s="22">
        <f t="shared" ref="C22:H27" si="10">B22+1</f>
        <v>45992</v>
      </c>
      <c r="D22" s="22">
        <f t="shared" si="10"/>
        <v>45993</v>
      </c>
      <c r="E22" s="22">
        <f t="shared" si="10"/>
        <v>45994</v>
      </c>
      <c r="F22" s="22">
        <f t="shared" si="10"/>
        <v>45995</v>
      </c>
      <c r="G22" s="22">
        <f t="shared" ref="G22:G27" si="11">F22+1</f>
        <v>45996</v>
      </c>
      <c r="H22" s="23">
        <f t="shared" si="10"/>
        <v>45997</v>
      </c>
      <c r="I22" s="43" t="str">
        <f>"P"&amp;ROUND((E22-$A$1)/7,0)-'1週目'!$P$2+$A$2</f>
        <v>P38</v>
      </c>
      <c r="J22" s="43" t="str">
        <f>"P"&amp;ROUND((N22-$A$1)/7,0)-'1週目'!$P$2+$A$2</f>
        <v>P42</v>
      </c>
      <c r="K22" s="21">
        <f>EOMONTH(DATE(IF(K20&lt;$B$2,1,0)+$B$1,K20-1,1),0)+1-WEEKDAY(EOMONTH(DATE(IF(K20&lt;$B$2,1,0)+$B$1,K20-1,1),0)+1)+1</f>
        <v>46019</v>
      </c>
      <c r="L22" s="22">
        <f t="shared" ref="L22:Q27" si="12">K22+1</f>
        <v>46020</v>
      </c>
      <c r="M22" s="22">
        <f t="shared" si="12"/>
        <v>46021</v>
      </c>
      <c r="N22" s="22">
        <f t="shared" si="12"/>
        <v>46022</v>
      </c>
      <c r="O22" s="22">
        <f t="shared" si="12"/>
        <v>46023</v>
      </c>
      <c r="P22" s="22">
        <f t="shared" si="12"/>
        <v>46024</v>
      </c>
      <c r="Q22" s="23">
        <f t="shared" si="12"/>
        <v>46025</v>
      </c>
      <c r="R22" s="43" t="str">
        <f>"P"&amp;ROUND((N22-$A$1)/7,0)-'1週目'!$P$2+$A$2</f>
        <v>P42</v>
      </c>
      <c r="S22" s="43" t="str">
        <f>"P"&amp;ROUND((W22-$A$1)/7,0)-'1週目'!$P$2+$A$2</f>
        <v>P47</v>
      </c>
      <c r="T22" s="21">
        <f>EOMONTH(DATE(IF(T20&lt;$B$2,1,0)+$B$1,T20-1,1),0)+1-WEEKDAY(EOMONTH(DATE(IF(T20&lt;$B$2,1,0)+$B$1,T20-1,1),0)+1)+1</f>
        <v>46054</v>
      </c>
      <c r="U22" s="22">
        <f t="shared" ref="U22:Z27" si="13">T22+1</f>
        <v>46055</v>
      </c>
      <c r="V22" s="22">
        <f t="shared" si="13"/>
        <v>46056</v>
      </c>
      <c r="W22" s="22">
        <f t="shared" si="13"/>
        <v>46057</v>
      </c>
      <c r="X22" s="22">
        <f t="shared" si="13"/>
        <v>46058</v>
      </c>
      <c r="Y22" s="22">
        <f t="shared" si="13"/>
        <v>46059</v>
      </c>
      <c r="Z22" s="23">
        <f t="shared" si="13"/>
        <v>46060</v>
      </c>
      <c r="AA22" s="43" t="str">
        <f>"P"&amp;ROUND((W22-$A$1)/7,0)-'1週目'!$P$2+$A$2</f>
        <v>P47</v>
      </c>
      <c r="AB22" s="43" t="str">
        <f>"P"&amp;ROUND((AF22-$A$1)/7,0)-'1週目'!$P$2+$A$2</f>
        <v>P51</v>
      </c>
      <c r="AC22" s="21">
        <f>EOMONTH(DATE(IF(AC20&lt;$B$2,1,0)+$B$1,AC20-1,1),0)+1-WEEKDAY(EOMONTH(DATE(IF(AC20&lt;$B$2,1,0)+$B$1,AC20-1,1),0)+1)+1</f>
        <v>46082</v>
      </c>
      <c r="AD22" s="22">
        <f t="shared" ref="AD22:AI27" si="14">AC22+1</f>
        <v>46083</v>
      </c>
      <c r="AE22" s="22">
        <f t="shared" si="14"/>
        <v>46084</v>
      </c>
      <c r="AF22" s="22">
        <f t="shared" si="14"/>
        <v>46085</v>
      </c>
      <c r="AG22" s="22">
        <f t="shared" si="14"/>
        <v>46086</v>
      </c>
      <c r="AH22" s="22">
        <f t="shared" si="14"/>
        <v>46087</v>
      </c>
      <c r="AI22" s="23">
        <f t="shared" si="14"/>
        <v>46088</v>
      </c>
      <c r="AJ22" s="43" t="str">
        <f>"P"&amp;ROUND((AF22-$A$1)/7,0)-'1週目'!$P$2+$A$2</f>
        <v>P51</v>
      </c>
      <c r="AM22" s="36"/>
    </row>
    <row r="23" spans="1:49" ht="38.25" customHeight="1">
      <c r="A23" s="43" t="str">
        <f>"P"&amp;ROUND((E23-$A$1)/7,0)-'1週目'!$P$2+$A$2</f>
        <v>P39</v>
      </c>
      <c r="B23" s="21">
        <f>H22+1</f>
        <v>45998</v>
      </c>
      <c r="C23" s="22">
        <f t="shared" si="10"/>
        <v>45999</v>
      </c>
      <c r="D23" s="22">
        <f t="shared" si="10"/>
        <v>46000</v>
      </c>
      <c r="E23" s="22">
        <f t="shared" si="10"/>
        <v>46001</v>
      </c>
      <c r="F23" s="22">
        <f t="shared" si="10"/>
        <v>46002</v>
      </c>
      <c r="G23" s="22">
        <f t="shared" si="11"/>
        <v>46003</v>
      </c>
      <c r="H23" s="23">
        <f t="shared" si="10"/>
        <v>46004</v>
      </c>
      <c r="I23" s="43" t="str">
        <f>"P"&amp;ROUND((E23-$A$1)/7,0)-'1週目'!$P$2+$A$2</f>
        <v>P39</v>
      </c>
      <c r="J23" s="43" t="str">
        <f>"P"&amp;ROUND((N23-$A$1)/7,0)-'1週目'!$P$2+$A$2</f>
        <v>P43</v>
      </c>
      <c r="K23" s="21">
        <f>Q22+1</f>
        <v>46026</v>
      </c>
      <c r="L23" s="22">
        <f t="shared" si="12"/>
        <v>46027</v>
      </c>
      <c r="M23" s="22">
        <f t="shared" si="12"/>
        <v>46028</v>
      </c>
      <c r="N23" s="22">
        <f t="shared" si="12"/>
        <v>46029</v>
      </c>
      <c r="O23" s="22">
        <f t="shared" si="12"/>
        <v>46030</v>
      </c>
      <c r="P23" s="22">
        <f t="shared" si="12"/>
        <v>46031</v>
      </c>
      <c r="Q23" s="23">
        <f t="shared" si="12"/>
        <v>46032</v>
      </c>
      <c r="R23" s="43" t="str">
        <f>"P"&amp;ROUND((N23-$A$1)/7,0)-'1週目'!$P$2+$A$2</f>
        <v>P43</v>
      </c>
      <c r="S23" s="43" t="str">
        <f>"P"&amp;ROUND((W23-$A$1)/7,0)-'1週目'!$P$2+$A$2</f>
        <v>P48</v>
      </c>
      <c r="T23" s="21">
        <f>Z22+1</f>
        <v>46061</v>
      </c>
      <c r="U23" s="22">
        <f t="shared" si="13"/>
        <v>46062</v>
      </c>
      <c r="V23" s="22">
        <f t="shared" si="13"/>
        <v>46063</v>
      </c>
      <c r="W23" s="22">
        <f t="shared" si="13"/>
        <v>46064</v>
      </c>
      <c r="X23" s="22">
        <f t="shared" si="13"/>
        <v>46065</v>
      </c>
      <c r="Y23" s="22">
        <f t="shared" si="13"/>
        <v>46066</v>
      </c>
      <c r="Z23" s="23">
        <f t="shared" si="13"/>
        <v>46067</v>
      </c>
      <c r="AA23" s="43" t="str">
        <f>"P"&amp;ROUND((W23-$A$1)/7,0)-'1週目'!$P$2+$A$2</f>
        <v>P48</v>
      </c>
      <c r="AB23" s="43" t="str">
        <f>"P"&amp;ROUND((AF23-$A$1)/7,0)-'1週目'!$P$2+$A$2</f>
        <v>P52</v>
      </c>
      <c r="AC23" s="21">
        <f>AI22+1</f>
        <v>46089</v>
      </c>
      <c r="AD23" s="22">
        <f t="shared" si="14"/>
        <v>46090</v>
      </c>
      <c r="AE23" s="22">
        <f t="shared" si="14"/>
        <v>46091</v>
      </c>
      <c r="AF23" s="22">
        <f t="shared" si="14"/>
        <v>46092</v>
      </c>
      <c r="AG23" s="22">
        <f t="shared" si="14"/>
        <v>46093</v>
      </c>
      <c r="AH23" s="22">
        <f t="shared" si="14"/>
        <v>46094</v>
      </c>
      <c r="AI23" s="23">
        <f t="shared" si="14"/>
        <v>46095</v>
      </c>
      <c r="AJ23" s="43" t="str">
        <f>"P"&amp;ROUND((AF23-$A$1)/7,0)-'1週目'!$P$2+$A$2</f>
        <v>P52</v>
      </c>
      <c r="AM23" s="36"/>
    </row>
    <row r="24" spans="1:49" ht="38.25" customHeight="1">
      <c r="A24" s="43" t="str">
        <f>"P"&amp;ROUND((E24-$A$1)/7,0)-'1週目'!$P$2+$A$2</f>
        <v>P40</v>
      </c>
      <c r="B24" s="21">
        <f>H23+1</f>
        <v>46005</v>
      </c>
      <c r="C24" s="22">
        <f t="shared" si="10"/>
        <v>46006</v>
      </c>
      <c r="D24" s="22">
        <f t="shared" si="10"/>
        <v>46007</v>
      </c>
      <c r="E24" s="22">
        <f t="shared" si="10"/>
        <v>46008</v>
      </c>
      <c r="F24" s="22">
        <f t="shared" si="10"/>
        <v>46009</v>
      </c>
      <c r="G24" s="22">
        <f t="shared" si="11"/>
        <v>46010</v>
      </c>
      <c r="H24" s="23">
        <f t="shared" si="10"/>
        <v>46011</v>
      </c>
      <c r="I24" s="43" t="str">
        <f>"P"&amp;ROUND((E24-$A$1)/7,0)-'1週目'!$P$2+$A$2</f>
        <v>P40</v>
      </c>
      <c r="J24" s="43" t="str">
        <f>"P"&amp;ROUND((N24-$A$1)/7,0)-'1週目'!$P$2+$A$2</f>
        <v>P44</v>
      </c>
      <c r="K24" s="21">
        <f>Q23+1</f>
        <v>46033</v>
      </c>
      <c r="L24" s="22">
        <f t="shared" si="12"/>
        <v>46034</v>
      </c>
      <c r="M24" s="22">
        <f t="shared" si="12"/>
        <v>46035</v>
      </c>
      <c r="N24" s="22">
        <f t="shared" si="12"/>
        <v>46036</v>
      </c>
      <c r="O24" s="22">
        <f t="shared" si="12"/>
        <v>46037</v>
      </c>
      <c r="P24" s="22">
        <f t="shared" si="12"/>
        <v>46038</v>
      </c>
      <c r="Q24" s="23">
        <f t="shared" si="12"/>
        <v>46039</v>
      </c>
      <c r="R24" s="43" t="str">
        <f>"P"&amp;ROUND((N24-$A$1)/7,0)-'1週目'!$P$2+$A$2</f>
        <v>P44</v>
      </c>
      <c r="S24" s="43" t="str">
        <f>"P"&amp;ROUND((W24-$A$1)/7,0)-'1週目'!$P$2+$A$2</f>
        <v>P49</v>
      </c>
      <c r="T24" s="21">
        <f>Z23+1</f>
        <v>46068</v>
      </c>
      <c r="U24" s="22">
        <f t="shared" si="13"/>
        <v>46069</v>
      </c>
      <c r="V24" s="22">
        <f t="shared" si="13"/>
        <v>46070</v>
      </c>
      <c r="W24" s="22">
        <f t="shared" si="13"/>
        <v>46071</v>
      </c>
      <c r="X24" s="22">
        <f t="shared" si="13"/>
        <v>46072</v>
      </c>
      <c r="Y24" s="22">
        <f t="shared" si="13"/>
        <v>46073</v>
      </c>
      <c r="Z24" s="23">
        <f t="shared" si="13"/>
        <v>46074</v>
      </c>
      <c r="AA24" s="43" t="str">
        <f>"P"&amp;ROUND((W24-$A$1)/7,0)-'1週目'!$P$2+$A$2</f>
        <v>P49</v>
      </c>
      <c r="AB24" s="43" t="str">
        <f>"P"&amp;ROUND((AF24-$A$1)/7,0)-'1週目'!$P$2+$A$2</f>
        <v>P53</v>
      </c>
      <c r="AC24" s="21">
        <f>AI23+1</f>
        <v>46096</v>
      </c>
      <c r="AD24" s="22">
        <f t="shared" si="14"/>
        <v>46097</v>
      </c>
      <c r="AE24" s="22">
        <f t="shared" si="14"/>
        <v>46098</v>
      </c>
      <c r="AF24" s="22">
        <f t="shared" si="14"/>
        <v>46099</v>
      </c>
      <c r="AG24" s="22">
        <f t="shared" si="14"/>
        <v>46100</v>
      </c>
      <c r="AH24" s="22">
        <f t="shared" si="14"/>
        <v>46101</v>
      </c>
      <c r="AI24" s="23">
        <f t="shared" si="14"/>
        <v>46102</v>
      </c>
      <c r="AJ24" s="43" t="str">
        <f>"P"&amp;ROUND((AF24-$A$1)/7,0)-'1週目'!$P$2+$A$2</f>
        <v>P53</v>
      </c>
      <c r="AM24" s="36"/>
    </row>
    <row r="25" spans="1:49" ht="38.25" customHeight="1">
      <c r="A25" s="43" t="str">
        <f>"P"&amp;ROUND((E25-$A$1)/7,0)-'1週目'!$P$2+$A$2</f>
        <v>P41</v>
      </c>
      <c r="B25" s="21">
        <f>H24+1</f>
        <v>46012</v>
      </c>
      <c r="C25" s="22">
        <f t="shared" si="10"/>
        <v>46013</v>
      </c>
      <c r="D25" s="22">
        <f t="shared" si="10"/>
        <v>46014</v>
      </c>
      <c r="E25" s="22">
        <f t="shared" si="10"/>
        <v>46015</v>
      </c>
      <c r="F25" s="22">
        <f t="shared" si="10"/>
        <v>46016</v>
      </c>
      <c r="G25" s="22">
        <f t="shared" si="11"/>
        <v>46017</v>
      </c>
      <c r="H25" s="23">
        <f t="shared" si="10"/>
        <v>46018</v>
      </c>
      <c r="I25" s="43" t="str">
        <f>"P"&amp;ROUND((E25-$A$1)/7,0)-'1週目'!$P$2+$A$2</f>
        <v>P41</v>
      </c>
      <c r="J25" s="43" t="str">
        <f>"P"&amp;ROUND((N25-$A$1)/7,0)-'1週目'!$P$2+$A$2</f>
        <v>P45</v>
      </c>
      <c r="K25" s="21">
        <f>Q24+1</f>
        <v>46040</v>
      </c>
      <c r="L25" s="22">
        <f t="shared" si="12"/>
        <v>46041</v>
      </c>
      <c r="M25" s="22">
        <f t="shared" si="12"/>
        <v>46042</v>
      </c>
      <c r="N25" s="22">
        <f t="shared" si="12"/>
        <v>46043</v>
      </c>
      <c r="O25" s="22">
        <f t="shared" si="12"/>
        <v>46044</v>
      </c>
      <c r="P25" s="22">
        <f t="shared" si="12"/>
        <v>46045</v>
      </c>
      <c r="Q25" s="23">
        <f t="shared" si="12"/>
        <v>46046</v>
      </c>
      <c r="R25" s="43" t="str">
        <f>"P"&amp;ROUND((N25-$A$1)/7,0)-'1週目'!$P$2+$A$2</f>
        <v>P45</v>
      </c>
      <c r="S25" s="43" t="str">
        <f>"P"&amp;ROUND((W25-$A$1)/7,0)-'1週目'!$P$2+$A$2</f>
        <v>P50</v>
      </c>
      <c r="T25" s="21">
        <f>Z24+1</f>
        <v>46075</v>
      </c>
      <c r="U25" s="22">
        <f t="shared" si="13"/>
        <v>46076</v>
      </c>
      <c r="V25" s="22">
        <f t="shared" si="13"/>
        <v>46077</v>
      </c>
      <c r="W25" s="22">
        <f t="shared" si="13"/>
        <v>46078</v>
      </c>
      <c r="X25" s="22">
        <f t="shared" si="13"/>
        <v>46079</v>
      </c>
      <c r="Y25" s="22">
        <f t="shared" si="13"/>
        <v>46080</v>
      </c>
      <c r="Z25" s="23">
        <f t="shared" si="13"/>
        <v>46081</v>
      </c>
      <c r="AA25" s="43" t="str">
        <f>"P"&amp;ROUND((W25-$A$1)/7,0)-'1週目'!$P$2+$A$2</f>
        <v>P50</v>
      </c>
      <c r="AB25" s="43" t="str">
        <f>"P"&amp;ROUND((AF25-$A$1)/7,0)-'1週目'!$P$2+$A$2</f>
        <v>P54</v>
      </c>
      <c r="AC25" s="21">
        <f>AI24+1</f>
        <v>46103</v>
      </c>
      <c r="AD25" s="22">
        <f t="shared" si="14"/>
        <v>46104</v>
      </c>
      <c r="AE25" s="22">
        <f t="shared" si="14"/>
        <v>46105</v>
      </c>
      <c r="AF25" s="22">
        <f t="shared" si="14"/>
        <v>46106</v>
      </c>
      <c r="AG25" s="22">
        <f t="shared" si="14"/>
        <v>46107</v>
      </c>
      <c r="AH25" s="22">
        <f t="shared" si="14"/>
        <v>46108</v>
      </c>
      <c r="AI25" s="23">
        <f t="shared" si="14"/>
        <v>46109</v>
      </c>
      <c r="AJ25" s="43" t="str">
        <f>"P"&amp;ROUND((AF25-$A$1)/7,0)-'1週目'!$P$2+$A$2</f>
        <v>P54</v>
      </c>
      <c r="AM25" s="36"/>
    </row>
    <row r="26" spans="1:49" ht="38.25" customHeight="1">
      <c r="A26" s="43" t="str">
        <f>"P"&amp;ROUND((E26-$A$1)/7,0)-'1週目'!$P$2+$A$2</f>
        <v>P42</v>
      </c>
      <c r="B26" s="21">
        <f>H25+1</f>
        <v>46019</v>
      </c>
      <c r="C26" s="22">
        <f t="shared" si="10"/>
        <v>46020</v>
      </c>
      <c r="D26" s="22">
        <f t="shared" si="10"/>
        <v>46021</v>
      </c>
      <c r="E26" s="22">
        <f t="shared" si="10"/>
        <v>46022</v>
      </c>
      <c r="F26" s="22">
        <f t="shared" si="10"/>
        <v>46023</v>
      </c>
      <c r="G26" s="22">
        <f t="shared" si="11"/>
        <v>46024</v>
      </c>
      <c r="H26" s="23">
        <f t="shared" si="10"/>
        <v>46025</v>
      </c>
      <c r="I26" s="43" t="str">
        <f>"P"&amp;ROUND((E26-$A$1)/7,0)-'1週目'!$P$2+$A$2</f>
        <v>P42</v>
      </c>
      <c r="J26" s="43" t="str">
        <f>"P"&amp;ROUND((N26-$A$1)/7,0)-'1週目'!$P$2+$A$2</f>
        <v>P46</v>
      </c>
      <c r="K26" s="21">
        <f>Q25+1</f>
        <v>46047</v>
      </c>
      <c r="L26" s="22">
        <f t="shared" si="12"/>
        <v>46048</v>
      </c>
      <c r="M26" s="22">
        <f t="shared" si="12"/>
        <v>46049</v>
      </c>
      <c r="N26" s="22">
        <f t="shared" si="12"/>
        <v>46050</v>
      </c>
      <c r="O26" s="22">
        <f t="shared" si="12"/>
        <v>46051</v>
      </c>
      <c r="P26" s="22">
        <f t="shared" si="12"/>
        <v>46052</v>
      </c>
      <c r="Q26" s="23">
        <f t="shared" si="12"/>
        <v>46053</v>
      </c>
      <c r="R26" s="43" t="str">
        <f>"P"&amp;ROUND((N26-$A$1)/7,0)-'1週目'!$P$2+$A$2</f>
        <v>P46</v>
      </c>
      <c r="S26" s="43" t="str">
        <f>"P"&amp;ROUND((W26-$A$1)/7,0)-'1週目'!$P$2+$A$2</f>
        <v>P51</v>
      </c>
      <c r="T26" s="21">
        <f>Z25+1</f>
        <v>46082</v>
      </c>
      <c r="U26" s="22">
        <f t="shared" si="13"/>
        <v>46083</v>
      </c>
      <c r="V26" s="22">
        <f t="shared" si="13"/>
        <v>46084</v>
      </c>
      <c r="W26" s="22">
        <f t="shared" si="13"/>
        <v>46085</v>
      </c>
      <c r="X26" s="22">
        <f t="shared" si="13"/>
        <v>46086</v>
      </c>
      <c r="Y26" s="22">
        <f t="shared" si="13"/>
        <v>46087</v>
      </c>
      <c r="Z26" s="23">
        <f t="shared" si="13"/>
        <v>46088</v>
      </c>
      <c r="AA26" s="43" t="str">
        <f>"P"&amp;ROUND((W26-$A$1)/7,0)-'1週目'!$P$2+$A$2</f>
        <v>P51</v>
      </c>
      <c r="AB26" s="43" t="str">
        <f>"P"&amp;ROUND((AF26-$A$1)/7,0)-'1週目'!$P$2+$A$2</f>
        <v>P55</v>
      </c>
      <c r="AC26" s="21">
        <f>AI25+1</f>
        <v>46110</v>
      </c>
      <c r="AD26" s="22">
        <f t="shared" si="14"/>
        <v>46111</v>
      </c>
      <c r="AE26" s="22">
        <f t="shared" si="14"/>
        <v>46112</v>
      </c>
      <c r="AF26" s="22">
        <f t="shared" si="14"/>
        <v>46113</v>
      </c>
      <c r="AG26" s="22">
        <f t="shared" si="14"/>
        <v>46114</v>
      </c>
      <c r="AH26" s="22">
        <f t="shared" si="14"/>
        <v>46115</v>
      </c>
      <c r="AI26" s="23">
        <f t="shared" si="14"/>
        <v>46116</v>
      </c>
      <c r="AJ26" s="43" t="str">
        <f>"P"&amp;ROUND((AF26-$A$1)/7,0)-'1週目'!$P$2+$A$2</f>
        <v>P55</v>
      </c>
      <c r="AM26" s="36"/>
    </row>
    <row r="27" spans="1:49" ht="38.25" customHeight="1">
      <c r="A27" s="43" t="str">
        <f>"P"&amp;ROUND((E27-$A$1)/7,0)-'1週目'!$P$2+$A$2</f>
        <v>P43</v>
      </c>
      <c r="B27" s="24">
        <f>H26+1</f>
        <v>46026</v>
      </c>
      <c r="C27" s="25">
        <f t="shared" si="10"/>
        <v>46027</v>
      </c>
      <c r="D27" s="25">
        <f t="shared" si="10"/>
        <v>46028</v>
      </c>
      <c r="E27" s="25">
        <f t="shared" si="10"/>
        <v>46029</v>
      </c>
      <c r="F27" s="25">
        <f t="shared" si="10"/>
        <v>46030</v>
      </c>
      <c r="G27" s="25">
        <f t="shared" si="11"/>
        <v>46031</v>
      </c>
      <c r="H27" s="26">
        <f t="shared" si="10"/>
        <v>46032</v>
      </c>
      <c r="I27" s="43" t="str">
        <f>"P"&amp;ROUND((E27-$A$1)/7,0)-'1週目'!$P$2+$A$2</f>
        <v>P43</v>
      </c>
      <c r="J27" s="43" t="str">
        <f>"P"&amp;ROUND((N27-$A$1)/7,0)-'1週目'!$P$2+$A$2</f>
        <v>P47</v>
      </c>
      <c r="K27" s="24">
        <f>Q26+1</f>
        <v>46054</v>
      </c>
      <c r="L27" s="25">
        <f t="shared" si="12"/>
        <v>46055</v>
      </c>
      <c r="M27" s="25">
        <f t="shared" si="12"/>
        <v>46056</v>
      </c>
      <c r="N27" s="25">
        <f t="shared" si="12"/>
        <v>46057</v>
      </c>
      <c r="O27" s="25">
        <f t="shared" si="12"/>
        <v>46058</v>
      </c>
      <c r="P27" s="25">
        <f t="shared" si="12"/>
        <v>46059</v>
      </c>
      <c r="Q27" s="26">
        <f t="shared" si="12"/>
        <v>46060</v>
      </c>
      <c r="R27" s="43" t="str">
        <f>"P"&amp;ROUND((N27-$A$1)/7,0)-'1週目'!$P$2+$A$2</f>
        <v>P47</v>
      </c>
      <c r="S27" s="43" t="str">
        <f>"P"&amp;ROUND((W27-$A$1)/7,0)-'1週目'!$P$2+$A$2</f>
        <v>P52</v>
      </c>
      <c r="T27" s="24">
        <f>Z26+1</f>
        <v>46089</v>
      </c>
      <c r="U27" s="25">
        <f t="shared" si="13"/>
        <v>46090</v>
      </c>
      <c r="V27" s="25">
        <f t="shared" si="13"/>
        <v>46091</v>
      </c>
      <c r="W27" s="25">
        <f t="shared" si="13"/>
        <v>46092</v>
      </c>
      <c r="X27" s="25">
        <f t="shared" si="13"/>
        <v>46093</v>
      </c>
      <c r="Y27" s="25">
        <f t="shared" si="13"/>
        <v>46094</v>
      </c>
      <c r="Z27" s="26">
        <f t="shared" si="13"/>
        <v>46095</v>
      </c>
      <c r="AA27" s="43" t="str">
        <f>"P"&amp;ROUND((W27-$A$1)/7,0)-'1週目'!$P$2+$A$2</f>
        <v>P52</v>
      </c>
      <c r="AB27" s="43" t="str">
        <f>"P"&amp;ROUND((AF27-$A$1)/7,0)-'1週目'!$P$2+$A$2</f>
        <v>P56</v>
      </c>
      <c r="AC27" s="24">
        <f>AI26+1</f>
        <v>46117</v>
      </c>
      <c r="AD27" s="25">
        <f t="shared" si="14"/>
        <v>46118</v>
      </c>
      <c r="AE27" s="25">
        <f t="shared" si="14"/>
        <v>46119</v>
      </c>
      <c r="AF27" s="25">
        <f t="shared" si="14"/>
        <v>46120</v>
      </c>
      <c r="AG27" s="25">
        <f t="shared" si="14"/>
        <v>46121</v>
      </c>
      <c r="AH27" s="25">
        <f t="shared" si="14"/>
        <v>46122</v>
      </c>
      <c r="AI27" s="26">
        <f t="shared" si="14"/>
        <v>46123</v>
      </c>
      <c r="AJ27" s="43" t="str">
        <f>"P"&amp;ROUND((AF27-$A$1)/7,0)-'1週目'!$P$2+$A$2</f>
        <v>P56</v>
      </c>
    </row>
    <row r="28" spans="1:49" ht="38.25" customHeight="1"/>
    <row r="29" spans="1:49" s="32" customFormat="1" ht="38.25" customHeight="1">
      <c r="A29" s="43"/>
      <c r="AO29" s="155"/>
      <c r="AP29" s="161"/>
      <c r="AQ29" s="158"/>
      <c r="AR29" s="155"/>
      <c r="AS29" s="161"/>
      <c r="AT29" s="158"/>
      <c r="AV29" s="161"/>
      <c r="AW29" s="158"/>
    </row>
    <row r="35" spans="2:38" ht="20.100000000000001" customHeight="1">
      <c r="B35" s="32"/>
      <c r="C35" s="32">
        <f>COUNTIF(A:A,"P*")</f>
        <v>18</v>
      </c>
      <c r="D35" s="32"/>
      <c r="E35" s="32"/>
      <c r="F35" s="32"/>
      <c r="G35" s="32"/>
      <c r="H35" s="32"/>
      <c r="I35" s="44"/>
      <c r="J35" s="44"/>
      <c r="K35" s="32">
        <f t="shared" ref="K35:L35" si="15">COUNTIF(I:I,"P*")</f>
        <v>18</v>
      </c>
      <c r="L35" s="32">
        <f t="shared" si="15"/>
        <v>18</v>
      </c>
      <c r="M35" s="32"/>
      <c r="N35" s="32"/>
      <c r="O35" s="32"/>
      <c r="P35" s="32"/>
      <c r="Q35" s="32"/>
      <c r="R35" s="44"/>
      <c r="S35" s="44"/>
      <c r="T35" s="32">
        <f t="shared" ref="T35:U35" si="16">COUNTIF(R:R,"P*")</f>
        <v>18</v>
      </c>
      <c r="U35" s="32">
        <f t="shared" si="16"/>
        <v>18</v>
      </c>
      <c r="V35" s="32"/>
      <c r="W35" s="32"/>
      <c r="X35" s="32"/>
      <c r="Y35" s="32"/>
      <c r="Z35" s="32"/>
      <c r="AA35" s="44"/>
      <c r="AB35" s="44"/>
      <c r="AC35" s="32">
        <f t="shared" ref="AC35:AD35" si="17">COUNTIF(AA:AA,"P*")</f>
        <v>18</v>
      </c>
      <c r="AD35" s="32">
        <f t="shared" si="17"/>
        <v>18</v>
      </c>
      <c r="AE35" s="32"/>
      <c r="AF35" s="32"/>
      <c r="AG35" s="32"/>
      <c r="AH35" s="32"/>
      <c r="AI35" s="32"/>
      <c r="AJ35" s="44"/>
      <c r="AK35" s="32"/>
      <c r="AL35" s="32">
        <f>COUNTIF(AJ:AJ,"P*")</f>
        <v>18</v>
      </c>
    </row>
    <row r="36" spans="2:38" ht="20.100000000000001" customHeight="1">
      <c r="B36" s="13">
        <f>SUM(A35:AL35)</f>
        <v>144</v>
      </c>
      <c r="C36" s="13">
        <f>B36/2</f>
        <v>72</v>
      </c>
    </row>
    <row r="39" spans="2:38" ht="20.100000000000001" customHeight="1">
      <c r="B39" s="14">
        <v>4</v>
      </c>
      <c r="C39" s="15" t="s">
        <v>1</v>
      </c>
      <c r="D39" s="16" t="str">
        <f>TEXT(DATE(2000,B39,1),"mmmm")</f>
        <v>April</v>
      </c>
      <c r="E39" s="17"/>
      <c r="F39" s="16"/>
      <c r="G39" s="16"/>
      <c r="H39" s="17"/>
      <c r="K39" s="14">
        <f>IF(B39+1&gt;12,B39-11,B39+1)</f>
        <v>5</v>
      </c>
      <c r="L39" s="15" t="s">
        <v>1</v>
      </c>
      <c r="M39" s="16" t="str">
        <f>TEXT(DATE(2000,K39,1),"mmmm")</f>
        <v>May</v>
      </c>
      <c r="N39" s="17"/>
      <c r="O39" s="17"/>
      <c r="P39" s="17"/>
      <c r="Q39" s="17"/>
      <c r="T39" s="14">
        <f>IF(K39+1&gt;12,K39-11,K39+1)</f>
        <v>6</v>
      </c>
      <c r="U39" s="15" t="s">
        <v>1</v>
      </c>
      <c r="V39" s="16" t="str">
        <f>TEXT(DATE(2000,T39,1),"mmmm")</f>
        <v>June</v>
      </c>
      <c r="W39" s="17"/>
      <c r="X39" s="17"/>
      <c r="Y39" s="17"/>
      <c r="Z39" s="17"/>
      <c r="AC39" s="14">
        <f>IF(T39+1&gt;12,T39-11,T39+1)</f>
        <v>7</v>
      </c>
      <c r="AD39" s="15" t="s">
        <v>1</v>
      </c>
      <c r="AE39" s="16" t="str">
        <f>TEXT(DATE(2000,AC39,1),"mmmm")</f>
        <v>July</v>
      </c>
      <c r="AF39" s="17"/>
      <c r="AG39" s="17"/>
      <c r="AH39" s="17"/>
      <c r="AI39" s="17"/>
    </row>
    <row r="40" spans="2:38" ht="20.100000000000001" customHeight="1">
      <c r="B40" s="18" t="s">
        <v>2</v>
      </c>
      <c r="C40" s="19" t="s">
        <v>3</v>
      </c>
      <c r="D40" s="19" t="s">
        <v>4</v>
      </c>
      <c r="E40" s="19" t="s">
        <v>5</v>
      </c>
      <c r="F40" s="19" t="s">
        <v>6</v>
      </c>
      <c r="G40" s="19" t="s">
        <v>7</v>
      </c>
      <c r="H40" s="20" t="s">
        <v>8</v>
      </c>
      <c r="K40" s="18" t="s">
        <v>2</v>
      </c>
      <c r="L40" s="19" t="s">
        <v>3</v>
      </c>
      <c r="M40" s="19" t="s">
        <v>4</v>
      </c>
      <c r="N40" s="19" t="s">
        <v>5</v>
      </c>
      <c r="O40" s="19" t="s">
        <v>6</v>
      </c>
      <c r="P40" s="19" t="s">
        <v>7</v>
      </c>
      <c r="Q40" s="20" t="s">
        <v>8</v>
      </c>
      <c r="T40" s="18" t="s">
        <v>2</v>
      </c>
      <c r="U40" s="19" t="s">
        <v>3</v>
      </c>
      <c r="V40" s="19" t="s">
        <v>4</v>
      </c>
      <c r="W40" s="19" t="s">
        <v>5</v>
      </c>
      <c r="X40" s="19" t="s">
        <v>6</v>
      </c>
      <c r="Y40" s="19" t="s">
        <v>7</v>
      </c>
      <c r="Z40" s="20" t="s">
        <v>8</v>
      </c>
      <c r="AC40" s="18" t="s">
        <v>2</v>
      </c>
      <c r="AD40" s="19" t="s">
        <v>3</v>
      </c>
      <c r="AE40" s="19" t="s">
        <v>4</v>
      </c>
      <c r="AF40" s="19" t="s">
        <v>5</v>
      </c>
      <c r="AG40" s="19" t="s">
        <v>6</v>
      </c>
      <c r="AH40" s="19" t="s">
        <v>7</v>
      </c>
      <c r="AI40" s="20" t="s">
        <v>8</v>
      </c>
    </row>
    <row r="41" spans="2:38" ht="20.100000000000001" customHeight="1">
      <c r="B41" s="21">
        <v>4</v>
      </c>
      <c r="C41" s="22">
        <f>$B$41</f>
        <v>4</v>
      </c>
      <c r="D41" s="22">
        <f t="shared" ref="D41:H46" si="18">$B$41</f>
        <v>4</v>
      </c>
      <c r="E41" s="22">
        <f t="shared" si="18"/>
        <v>4</v>
      </c>
      <c r="F41" s="22">
        <f t="shared" si="18"/>
        <v>4</v>
      </c>
      <c r="G41" s="22">
        <f t="shared" si="18"/>
        <v>4</v>
      </c>
      <c r="H41" s="23">
        <f t="shared" si="18"/>
        <v>4</v>
      </c>
      <c r="I41" s="45"/>
      <c r="J41" s="45"/>
      <c r="K41" s="21">
        <f>IF(B41+1&gt;12,B41-11,B41+1)</f>
        <v>5</v>
      </c>
      <c r="L41" s="22">
        <f>K41</f>
        <v>5</v>
      </c>
      <c r="M41" s="22">
        <f t="shared" ref="M41:Q41" si="19">L41</f>
        <v>5</v>
      </c>
      <c r="N41" s="22">
        <f t="shared" si="19"/>
        <v>5</v>
      </c>
      <c r="O41" s="22">
        <f t="shared" si="19"/>
        <v>5</v>
      </c>
      <c r="P41" s="22">
        <f t="shared" si="19"/>
        <v>5</v>
      </c>
      <c r="Q41" s="23">
        <f t="shared" si="19"/>
        <v>5</v>
      </c>
      <c r="R41" s="45"/>
      <c r="S41" s="45"/>
      <c r="T41" s="21">
        <f>IF(K41+1&gt;12,K41-11,K41+1)</f>
        <v>6</v>
      </c>
      <c r="U41" s="22">
        <f>T41</f>
        <v>6</v>
      </c>
      <c r="V41" s="22">
        <f t="shared" ref="V41:Z41" si="20">U41</f>
        <v>6</v>
      </c>
      <c r="W41" s="22">
        <f t="shared" si="20"/>
        <v>6</v>
      </c>
      <c r="X41" s="22">
        <f t="shared" si="20"/>
        <v>6</v>
      </c>
      <c r="Y41" s="22">
        <f t="shared" si="20"/>
        <v>6</v>
      </c>
      <c r="Z41" s="23">
        <f t="shared" si="20"/>
        <v>6</v>
      </c>
      <c r="AA41" s="45"/>
      <c r="AB41" s="45"/>
      <c r="AC41" s="21">
        <f>IF(T41+1&gt;12,T41-11,T41+1)</f>
        <v>7</v>
      </c>
      <c r="AD41" s="22">
        <f>AC41</f>
        <v>7</v>
      </c>
      <c r="AE41" s="22">
        <f t="shared" ref="AE41:AI41" si="21">AD41</f>
        <v>7</v>
      </c>
      <c r="AF41" s="22">
        <f t="shared" si="21"/>
        <v>7</v>
      </c>
      <c r="AG41" s="22">
        <f t="shared" si="21"/>
        <v>7</v>
      </c>
      <c r="AH41" s="22">
        <f t="shared" si="21"/>
        <v>7</v>
      </c>
      <c r="AI41" s="23">
        <f t="shared" si="21"/>
        <v>7</v>
      </c>
    </row>
    <row r="42" spans="2:38" ht="20.100000000000001" customHeight="1">
      <c r="B42" s="21">
        <f t="shared" ref="B42:B46" si="22">$B$41</f>
        <v>4</v>
      </c>
      <c r="C42" s="22">
        <f t="shared" ref="C42:C46" si="23">$B$41</f>
        <v>4</v>
      </c>
      <c r="D42" s="22">
        <f t="shared" si="18"/>
        <v>4</v>
      </c>
      <c r="E42" s="22">
        <f t="shared" si="18"/>
        <v>4</v>
      </c>
      <c r="F42" s="22">
        <f t="shared" si="18"/>
        <v>4</v>
      </c>
      <c r="G42" s="22">
        <f t="shared" si="18"/>
        <v>4</v>
      </c>
      <c r="H42" s="23">
        <f t="shared" si="18"/>
        <v>4</v>
      </c>
      <c r="I42" s="45"/>
      <c r="J42" s="45"/>
      <c r="K42" s="21">
        <f>K41</f>
        <v>5</v>
      </c>
      <c r="L42" s="22">
        <f t="shared" ref="L42:L46" si="24">L41</f>
        <v>5</v>
      </c>
      <c r="M42" s="22">
        <f t="shared" ref="M42:M46" si="25">M41</f>
        <v>5</v>
      </c>
      <c r="N42" s="22">
        <f t="shared" ref="N42:N46" si="26">N41</f>
        <v>5</v>
      </c>
      <c r="O42" s="22">
        <f t="shared" ref="O42:O46" si="27">O41</f>
        <v>5</v>
      </c>
      <c r="P42" s="22">
        <f t="shared" ref="P42:P46" si="28">P41</f>
        <v>5</v>
      </c>
      <c r="Q42" s="23">
        <f t="shared" ref="Q42:Q46" si="29">Q41</f>
        <v>5</v>
      </c>
      <c r="R42" s="45"/>
      <c r="S42" s="45"/>
      <c r="T42" s="21">
        <f>T41</f>
        <v>6</v>
      </c>
      <c r="U42" s="22">
        <f t="shared" ref="U42:U46" si="30">U41</f>
        <v>6</v>
      </c>
      <c r="V42" s="22">
        <f t="shared" ref="V42:V46" si="31">V41</f>
        <v>6</v>
      </c>
      <c r="W42" s="22">
        <f t="shared" ref="W42:W46" si="32">W41</f>
        <v>6</v>
      </c>
      <c r="X42" s="22">
        <f t="shared" ref="X42:X46" si="33">X41</f>
        <v>6</v>
      </c>
      <c r="Y42" s="22">
        <f t="shared" ref="Y42:Y46" si="34">Y41</f>
        <v>6</v>
      </c>
      <c r="Z42" s="23">
        <f t="shared" ref="Z42:Z46" si="35">Z41</f>
        <v>6</v>
      </c>
      <c r="AA42" s="45"/>
      <c r="AB42" s="45"/>
      <c r="AC42" s="21">
        <f>AC41</f>
        <v>7</v>
      </c>
      <c r="AD42" s="22">
        <f t="shared" ref="AD42:AD46" si="36">AD41</f>
        <v>7</v>
      </c>
      <c r="AE42" s="22">
        <f t="shared" ref="AE42:AE46" si="37">AE41</f>
        <v>7</v>
      </c>
      <c r="AF42" s="22">
        <f t="shared" ref="AF42:AF46" si="38">AF41</f>
        <v>7</v>
      </c>
      <c r="AG42" s="22">
        <f t="shared" ref="AG42:AG46" si="39">AG41</f>
        <v>7</v>
      </c>
      <c r="AH42" s="22">
        <f t="shared" ref="AH42:AH46" si="40">AH41</f>
        <v>7</v>
      </c>
      <c r="AI42" s="23">
        <f t="shared" ref="AI42:AI46" si="41">AI41</f>
        <v>7</v>
      </c>
    </row>
    <row r="43" spans="2:38" ht="20.100000000000001" customHeight="1">
      <c r="B43" s="21">
        <f t="shared" si="22"/>
        <v>4</v>
      </c>
      <c r="C43" s="22">
        <f t="shared" si="23"/>
        <v>4</v>
      </c>
      <c r="D43" s="22">
        <f t="shared" si="18"/>
        <v>4</v>
      </c>
      <c r="E43" s="22">
        <f t="shared" si="18"/>
        <v>4</v>
      </c>
      <c r="F43" s="22">
        <f t="shared" si="18"/>
        <v>4</v>
      </c>
      <c r="G43" s="22">
        <f t="shared" si="18"/>
        <v>4</v>
      </c>
      <c r="H43" s="23">
        <f t="shared" si="18"/>
        <v>4</v>
      </c>
      <c r="I43" s="45"/>
      <c r="J43" s="45"/>
      <c r="K43" s="21">
        <f t="shared" ref="K43:K46" si="42">K42</f>
        <v>5</v>
      </c>
      <c r="L43" s="22">
        <f t="shared" si="24"/>
        <v>5</v>
      </c>
      <c r="M43" s="22">
        <f t="shared" si="25"/>
        <v>5</v>
      </c>
      <c r="N43" s="22">
        <f t="shared" si="26"/>
        <v>5</v>
      </c>
      <c r="O43" s="22">
        <f t="shared" si="27"/>
        <v>5</v>
      </c>
      <c r="P43" s="22">
        <f t="shared" si="28"/>
        <v>5</v>
      </c>
      <c r="Q43" s="23">
        <f t="shared" si="29"/>
        <v>5</v>
      </c>
      <c r="R43" s="45"/>
      <c r="S43" s="45"/>
      <c r="T43" s="21">
        <f t="shared" ref="T43:T46" si="43">T42</f>
        <v>6</v>
      </c>
      <c r="U43" s="22">
        <f t="shared" si="30"/>
        <v>6</v>
      </c>
      <c r="V43" s="22">
        <f t="shared" si="31"/>
        <v>6</v>
      </c>
      <c r="W43" s="22">
        <f t="shared" si="32"/>
        <v>6</v>
      </c>
      <c r="X43" s="22">
        <f t="shared" si="33"/>
        <v>6</v>
      </c>
      <c r="Y43" s="22">
        <f t="shared" si="34"/>
        <v>6</v>
      </c>
      <c r="Z43" s="23">
        <f t="shared" si="35"/>
        <v>6</v>
      </c>
      <c r="AA43" s="45"/>
      <c r="AB43" s="45"/>
      <c r="AC43" s="21">
        <f t="shared" ref="AC43:AC46" si="44">AC42</f>
        <v>7</v>
      </c>
      <c r="AD43" s="22">
        <f t="shared" si="36"/>
        <v>7</v>
      </c>
      <c r="AE43" s="22">
        <f t="shared" si="37"/>
        <v>7</v>
      </c>
      <c r="AF43" s="22">
        <f t="shared" si="38"/>
        <v>7</v>
      </c>
      <c r="AG43" s="22">
        <f t="shared" si="39"/>
        <v>7</v>
      </c>
      <c r="AH43" s="22">
        <f t="shared" si="40"/>
        <v>7</v>
      </c>
      <c r="AI43" s="23">
        <f t="shared" si="41"/>
        <v>7</v>
      </c>
    </row>
    <row r="44" spans="2:38" ht="20.100000000000001" customHeight="1">
      <c r="B44" s="21">
        <f t="shared" si="22"/>
        <v>4</v>
      </c>
      <c r="C44" s="22">
        <f t="shared" si="23"/>
        <v>4</v>
      </c>
      <c r="D44" s="22">
        <f t="shared" si="18"/>
        <v>4</v>
      </c>
      <c r="E44" s="22">
        <f t="shared" si="18"/>
        <v>4</v>
      </c>
      <c r="F44" s="22">
        <f t="shared" si="18"/>
        <v>4</v>
      </c>
      <c r="G44" s="22">
        <f t="shared" si="18"/>
        <v>4</v>
      </c>
      <c r="H44" s="23">
        <f t="shared" si="18"/>
        <v>4</v>
      </c>
      <c r="I44" s="45"/>
      <c r="J44" s="45"/>
      <c r="K44" s="21">
        <f t="shared" si="42"/>
        <v>5</v>
      </c>
      <c r="L44" s="22">
        <f t="shared" si="24"/>
        <v>5</v>
      </c>
      <c r="M44" s="22">
        <f t="shared" si="25"/>
        <v>5</v>
      </c>
      <c r="N44" s="22">
        <f t="shared" si="26"/>
        <v>5</v>
      </c>
      <c r="O44" s="22">
        <f t="shared" si="27"/>
        <v>5</v>
      </c>
      <c r="P44" s="22">
        <f t="shared" si="28"/>
        <v>5</v>
      </c>
      <c r="Q44" s="23">
        <f t="shared" si="29"/>
        <v>5</v>
      </c>
      <c r="R44" s="45"/>
      <c r="S44" s="45"/>
      <c r="T44" s="21">
        <f t="shared" si="43"/>
        <v>6</v>
      </c>
      <c r="U44" s="22">
        <f t="shared" si="30"/>
        <v>6</v>
      </c>
      <c r="V44" s="22">
        <f t="shared" si="31"/>
        <v>6</v>
      </c>
      <c r="W44" s="22">
        <f t="shared" si="32"/>
        <v>6</v>
      </c>
      <c r="X44" s="22">
        <f t="shared" si="33"/>
        <v>6</v>
      </c>
      <c r="Y44" s="22">
        <f t="shared" si="34"/>
        <v>6</v>
      </c>
      <c r="Z44" s="23">
        <f t="shared" si="35"/>
        <v>6</v>
      </c>
      <c r="AA44" s="45"/>
      <c r="AB44" s="45"/>
      <c r="AC44" s="21">
        <f t="shared" si="44"/>
        <v>7</v>
      </c>
      <c r="AD44" s="22">
        <f t="shared" si="36"/>
        <v>7</v>
      </c>
      <c r="AE44" s="22">
        <f t="shared" si="37"/>
        <v>7</v>
      </c>
      <c r="AF44" s="22">
        <f t="shared" si="38"/>
        <v>7</v>
      </c>
      <c r="AG44" s="22">
        <f t="shared" si="39"/>
        <v>7</v>
      </c>
      <c r="AH44" s="22">
        <f t="shared" si="40"/>
        <v>7</v>
      </c>
      <c r="AI44" s="23">
        <f t="shared" si="41"/>
        <v>7</v>
      </c>
    </row>
    <row r="45" spans="2:38" ht="20.100000000000001" customHeight="1">
      <c r="B45" s="21">
        <f t="shared" si="22"/>
        <v>4</v>
      </c>
      <c r="C45" s="22">
        <f t="shared" si="23"/>
        <v>4</v>
      </c>
      <c r="D45" s="22">
        <f t="shared" si="18"/>
        <v>4</v>
      </c>
      <c r="E45" s="22">
        <f t="shared" si="18"/>
        <v>4</v>
      </c>
      <c r="F45" s="22">
        <f t="shared" si="18"/>
        <v>4</v>
      </c>
      <c r="G45" s="22">
        <f t="shared" si="18"/>
        <v>4</v>
      </c>
      <c r="H45" s="23">
        <f t="shared" si="18"/>
        <v>4</v>
      </c>
      <c r="I45" s="45"/>
      <c r="J45" s="45"/>
      <c r="K45" s="21">
        <f t="shared" si="42"/>
        <v>5</v>
      </c>
      <c r="L45" s="22">
        <f t="shared" si="24"/>
        <v>5</v>
      </c>
      <c r="M45" s="22">
        <f t="shared" si="25"/>
        <v>5</v>
      </c>
      <c r="N45" s="22">
        <f t="shared" si="26"/>
        <v>5</v>
      </c>
      <c r="O45" s="22">
        <f t="shared" si="27"/>
        <v>5</v>
      </c>
      <c r="P45" s="22">
        <f t="shared" si="28"/>
        <v>5</v>
      </c>
      <c r="Q45" s="23">
        <f t="shared" si="29"/>
        <v>5</v>
      </c>
      <c r="R45" s="45"/>
      <c r="S45" s="45"/>
      <c r="T45" s="21">
        <f t="shared" si="43"/>
        <v>6</v>
      </c>
      <c r="U45" s="22">
        <f t="shared" si="30"/>
        <v>6</v>
      </c>
      <c r="V45" s="22">
        <f t="shared" si="31"/>
        <v>6</v>
      </c>
      <c r="W45" s="22">
        <f t="shared" si="32"/>
        <v>6</v>
      </c>
      <c r="X45" s="22">
        <f t="shared" si="33"/>
        <v>6</v>
      </c>
      <c r="Y45" s="22">
        <f t="shared" si="34"/>
        <v>6</v>
      </c>
      <c r="Z45" s="23">
        <f t="shared" si="35"/>
        <v>6</v>
      </c>
      <c r="AA45" s="45"/>
      <c r="AB45" s="45"/>
      <c r="AC45" s="21">
        <f t="shared" si="44"/>
        <v>7</v>
      </c>
      <c r="AD45" s="22">
        <f t="shared" si="36"/>
        <v>7</v>
      </c>
      <c r="AE45" s="22">
        <f t="shared" si="37"/>
        <v>7</v>
      </c>
      <c r="AF45" s="22">
        <f t="shared" si="38"/>
        <v>7</v>
      </c>
      <c r="AG45" s="22">
        <f t="shared" si="39"/>
        <v>7</v>
      </c>
      <c r="AH45" s="22">
        <f t="shared" si="40"/>
        <v>7</v>
      </c>
      <c r="AI45" s="23">
        <f t="shared" si="41"/>
        <v>7</v>
      </c>
    </row>
    <row r="46" spans="2:38" ht="20.100000000000001" customHeight="1">
      <c r="B46" s="24">
        <f t="shared" si="22"/>
        <v>4</v>
      </c>
      <c r="C46" s="25">
        <f t="shared" si="23"/>
        <v>4</v>
      </c>
      <c r="D46" s="25">
        <f t="shared" si="18"/>
        <v>4</v>
      </c>
      <c r="E46" s="25">
        <f t="shared" si="18"/>
        <v>4</v>
      </c>
      <c r="F46" s="25">
        <f t="shared" si="18"/>
        <v>4</v>
      </c>
      <c r="G46" s="25">
        <f t="shared" si="18"/>
        <v>4</v>
      </c>
      <c r="H46" s="26">
        <f t="shared" si="18"/>
        <v>4</v>
      </c>
      <c r="I46" s="45"/>
      <c r="J46" s="45"/>
      <c r="K46" s="24">
        <f t="shared" si="42"/>
        <v>5</v>
      </c>
      <c r="L46" s="25">
        <f t="shared" si="24"/>
        <v>5</v>
      </c>
      <c r="M46" s="25">
        <f t="shared" si="25"/>
        <v>5</v>
      </c>
      <c r="N46" s="25">
        <f t="shared" si="26"/>
        <v>5</v>
      </c>
      <c r="O46" s="25">
        <f t="shared" si="27"/>
        <v>5</v>
      </c>
      <c r="P46" s="25">
        <f t="shared" si="28"/>
        <v>5</v>
      </c>
      <c r="Q46" s="26">
        <f t="shared" si="29"/>
        <v>5</v>
      </c>
      <c r="R46" s="45"/>
      <c r="S46" s="45"/>
      <c r="T46" s="24">
        <f t="shared" si="43"/>
        <v>6</v>
      </c>
      <c r="U46" s="25">
        <f t="shared" si="30"/>
        <v>6</v>
      </c>
      <c r="V46" s="25">
        <f t="shared" si="31"/>
        <v>6</v>
      </c>
      <c r="W46" s="25">
        <f t="shared" si="32"/>
        <v>6</v>
      </c>
      <c r="X46" s="25">
        <f t="shared" si="33"/>
        <v>6</v>
      </c>
      <c r="Y46" s="25">
        <f t="shared" si="34"/>
        <v>6</v>
      </c>
      <c r="Z46" s="26">
        <f t="shared" si="35"/>
        <v>6</v>
      </c>
      <c r="AA46" s="45"/>
      <c r="AB46" s="45"/>
      <c r="AC46" s="24">
        <f t="shared" si="44"/>
        <v>7</v>
      </c>
      <c r="AD46" s="25">
        <f t="shared" si="36"/>
        <v>7</v>
      </c>
      <c r="AE46" s="25">
        <f t="shared" si="37"/>
        <v>7</v>
      </c>
      <c r="AF46" s="25">
        <f t="shared" si="38"/>
        <v>7</v>
      </c>
      <c r="AG46" s="25">
        <f t="shared" si="39"/>
        <v>7</v>
      </c>
      <c r="AH46" s="25">
        <f t="shared" si="40"/>
        <v>7</v>
      </c>
      <c r="AI46" s="26">
        <f t="shared" si="41"/>
        <v>7</v>
      </c>
    </row>
    <row r="47" spans="2:38" ht="20.100000000000001" customHeight="1">
      <c r="C47" s="27"/>
      <c r="D47" s="27"/>
      <c r="E47" s="27"/>
      <c r="F47" s="27"/>
      <c r="G47" s="27"/>
      <c r="L47" s="27"/>
      <c r="M47" s="27"/>
      <c r="N47" s="27"/>
      <c r="O47" s="27"/>
      <c r="P47" s="27"/>
      <c r="U47" s="27"/>
      <c r="V47" s="27"/>
      <c r="W47" s="27"/>
      <c r="X47" s="27"/>
      <c r="Y47" s="27"/>
      <c r="AD47" s="27"/>
      <c r="AE47" s="27"/>
      <c r="AF47" s="27"/>
      <c r="AG47" s="27"/>
      <c r="AH47" s="27"/>
    </row>
    <row r="48" spans="2:38" ht="20.100000000000001" customHeight="1">
      <c r="B48" s="14">
        <f>IF(AC39+1&gt;12,AC39-11,AC39+1)</f>
        <v>8</v>
      </c>
      <c r="C48" s="28" t="s">
        <v>1</v>
      </c>
      <c r="D48" s="29" t="str">
        <f>TEXT(DATE(2000,B48,1),"mmmm")</f>
        <v>August</v>
      </c>
      <c r="E48" s="30"/>
      <c r="F48" s="30"/>
      <c r="G48" s="30"/>
      <c r="H48" s="17"/>
      <c r="K48" s="14">
        <f>IF(B48+1&gt;12,B48-11,B48+1)</f>
        <v>9</v>
      </c>
      <c r="L48" s="28" t="s">
        <v>1</v>
      </c>
      <c r="M48" s="29" t="str">
        <f>TEXT(DATE(2000,K48,1),"mmmm")</f>
        <v>September</v>
      </c>
      <c r="N48" s="30"/>
      <c r="O48" s="30"/>
      <c r="P48" s="30"/>
      <c r="Q48" s="17"/>
      <c r="T48" s="14">
        <f>IF(K48+1&gt;12,K48-11,K48+1)</f>
        <v>10</v>
      </c>
      <c r="U48" s="28" t="s">
        <v>1</v>
      </c>
      <c r="V48" s="29" t="str">
        <f>TEXT(DATE(2000,T48,1),"mmmm")</f>
        <v>October</v>
      </c>
      <c r="W48" s="29"/>
      <c r="X48" s="29"/>
      <c r="Y48" s="29"/>
      <c r="Z48" s="16"/>
      <c r="AC48" s="14">
        <f>IF(T48+1&gt;12,T48-11,T48+1)</f>
        <v>11</v>
      </c>
      <c r="AD48" s="28" t="s">
        <v>1</v>
      </c>
      <c r="AE48" s="29" t="str">
        <f>TEXT(DATE(2000,AC48,1),"mmmm")</f>
        <v>November</v>
      </c>
      <c r="AF48" s="29"/>
      <c r="AG48" s="29"/>
      <c r="AH48" s="29"/>
      <c r="AI48" s="16"/>
    </row>
    <row r="49" spans="2:35" ht="20.100000000000001" customHeight="1">
      <c r="B49" s="18" t="s">
        <v>2</v>
      </c>
      <c r="C49" s="31" t="s">
        <v>3</v>
      </c>
      <c r="D49" s="31" t="s">
        <v>4</v>
      </c>
      <c r="E49" s="31" t="s">
        <v>5</v>
      </c>
      <c r="F49" s="31" t="s">
        <v>6</v>
      </c>
      <c r="G49" s="31" t="s">
        <v>7</v>
      </c>
      <c r="H49" s="20" t="s">
        <v>8</v>
      </c>
      <c r="K49" s="18" t="s">
        <v>2</v>
      </c>
      <c r="L49" s="31" t="s">
        <v>3</v>
      </c>
      <c r="M49" s="31" t="s">
        <v>4</v>
      </c>
      <c r="N49" s="31" t="s">
        <v>5</v>
      </c>
      <c r="O49" s="31" t="s">
        <v>6</v>
      </c>
      <c r="P49" s="31" t="s">
        <v>7</v>
      </c>
      <c r="Q49" s="20" t="s">
        <v>8</v>
      </c>
      <c r="T49" s="18" t="s">
        <v>2</v>
      </c>
      <c r="U49" s="31" t="s">
        <v>3</v>
      </c>
      <c r="V49" s="31" t="s">
        <v>4</v>
      </c>
      <c r="W49" s="31" t="s">
        <v>5</v>
      </c>
      <c r="X49" s="31" t="s">
        <v>6</v>
      </c>
      <c r="Y49" s="31" t="s">
        <v>7</v>
      </c>
      <c r="Z49" s="20" t="s">
        <v>8</v>
      </c>
      <c r="AC49" s="18" t="s">
        <v>2</v>
      </c>
      <c r="AD49" s="31" t="s">
        <v>3</v>
      </c>
      <c r="AE49" s="31" t="s">
        <v>4</v>
      </c>
      <c r="AF49" s="31" t="s">
        <v>5</v>
      </c>
      <c r="AG49" s="31" t="s">
        <v>6</v>
      </c>
      <c r="AH49" s="31" t="s">
        <v>7</v>
      </c>
      <c r="AI49" s="20" t="s">
        <v>8</v>
      </c>
    </row>
    <row r="50" spans="2:35" ht="20.100000000000001" customHeight="1">
      <c r="B50" s="21">
        <f>IF(AC41+1&gt;12,AC41-11,AC41+1)</f>
        <v>8</v>
      </c>
      <c r="C50" s="22">
        <f>B50</f>
        <v>8</v>
      </c>
      <c r="D50" s="22">
        <f t="shared" ref="D50:H50" si="45">C50</f>
        <v>8</v>
      </c>
      <c r="E50" s="22">
        <f t="shared" si="45"/>
        <v>8</v>
      </c>
      <c r="F50" s="22">
        <f t="shared" si="45"/>
        <v>8</v>
      </c>
      <c r="G50" s="22">
        <f>F50</f>
        <v>8</v>
      </c>
      <c r="H50" s="23">
        <f t="shared" si="45"/>
        <v>8</v>
      </c>
      <c r="I50" s="45"/>
      <c r="J50" s="45"/>
      <c r="K50" s="21">
        <f>IF(B50+1&gt;12,B50-11,B50+1)</f>
        <v>9</v>
      </c>
      <c r="L50" s="22">
        <f>K50</f>
        <v>9</v>
      </c>
      <c r="M50" s="22">
        <f t="shared" ref="M50:Q50" si="46">L50</f>
        <v>9</v>
      </c>
      <c r="N50" s="22">
        <f t="shared" si="46"/>
        <v>9</v>
      </c>
      <c r="O50" s="22">
        <f t="shared" si="46"/>
        <v>9</v>
      </c>
      <c r="P50" s="22">
        <f t="shared" si="46"/>
        <v>9</v>
      </c>
      <c r="Q50" s="23">
        <f t="shared" si="46"/>
        <v>9</v>
      </c>
      <c r="R50" s="45"/>
      <c r="S50" s="45"/>
      <c r="T50" s="21">
        <f>IF(K50+1&gt;12,K50-11,K50+1)</f>
        <v>10</v>
      </c>
      <c r="U50" s="22">
        <f>T50</f>
        <v>10</v>
      </c>
      <c r="V50" s="22">
        <f t="shared" ref="V50:Z50" si="47">U50</f>
        <v>10</v>
      </c>
      <c r="W50" s="22">
        <f t="shared" si="47"/>
        <v>10</v>
      </c>
      <c r="X50" s="22">
        <f t="shared" si="47"/>
        <v>10</v>
      </c>
      <c r="Y50" s="22">
        <f t="shared" si="47"/>
        <v>10</v>
      </c>
      <c r="Z50" s="23">
        <f t="shared" si="47"/>
        <v>10</v>
      </c>
      <c r="AA50" s="45"/>
      <c r="AB50" s="45"/>
      <c r="AC50" s="21">
        <f>IF(T50+1&gt;12,T50-11,T50+1)</f>
        <v>11</v>
      </c>
      <c r="AD50" s="22">
        <f>AC50</f>
        <v>11</v>
      </c>
      <c r="AE50" s="22">
        <f t="shared" ref="AE50:AI50" si="48">AD50</f>
        <v>11</v>
      </c>
      <c r="AF50" s="22">
        <f t="shared" si="48"/>
        <v>11</v>
      </c>
      <c r="AG50" s="22">
        <f t="shared" si="48"/>
        <v>11</v>
      </c>
      <c r="AH50" s="22">
        <f t="shared" si="48"/>
        <v>11</v>
      </c>
      <c r="AI50" s="23">
        <f t="shared" si="48"/>
        <v>11</v>
      </c>
    </row>
    <row r="51" spans="2:35" ht="20.100000000000001" customHeight="1">
      <c r="B51" s="21">
        <f>B50</f>
        <v>8</v>
      </c>
      <c r="C51" s="22">
        <f t="shared" ref="C51:C55" si="49">C50</f>
        <v>8</v>
      </c>
      <c r="D51" s="22">
        <f t="shared" ref="D51:D55" si="50">D50</f>
        <v>8</v>
      </c>
      <c r="E51" s="22">
        <f t="shared" ref="E51:E55" si="51">E50</f>
        <v>8</v>
      </c>
      <c r="F51" s="22">
        <f t="shared" ref="F51:F55" si="52">F50</f>
        <v>8</v>
      </c>
      <c r="G51" s="22">
        <f t="shared" ref="G51:G55" si="53">G50</f>
        <v>8</v>
      </c>
      <c r="H51" s="23">
        <f t="shared" ref="H51:H55" si="54">H50</f>
        <v>8</v>
      </c>
      <c r="I51" s="45"/>
      <c r="J51" s="45"/>
      <c r="K51" s="21">
        <f>K50</f>
        <v>9</v>
      </c>
      <c r="L51" s="22">
        <f t="shared" ref="L51:L55" si="55">L50</f>
        <v>9</v>
      </c>
      <c r="M51" s="22">
        <f t="shared" ref="M51:M55" si="56">M50</f>
        <v>9</v>
      </c>
      <c r="N51" s="22">
        <f t="shared" ref="N51:N55" si="57">N50</f>
        <v>9</v>
      </c>
      <c r="O51" s="22">
        <f t="shared" ref="O51:O55" si="58">O50</f>
        <v>9</v>
      </c>
      <c r="P51" s="22">
        <f t="shared" ref="P51:P55" si="59">P50</f>
        <v>9</v>
      </c>
      <c r="Q51" s="23">
        <f t="shared" ref="Q51:Q55" si="60">Q50</f>
        <v>9</v>
      </c>
      <c r="R51" s="45"/>
      <c r="S51" s="45"/>
      <c r="T51" s="21">
        <f>T50</f>
        <v>10</v>
      </c>
      <c r="U51" s="22">
        <f t="shared" ref="U51:U55" si="61">U50</f>
        <v>10</v>
      </c>
      <c r="V51" s="22">
        <f t="shared" ref="V51:V55" si="62">V50</f>
        <v>10</v>
      </c>
      <c r="W51" s="22">
        <f t="shared" ref="W51:W55" si="63">W50</f>
        <v>10</v>
      </c>
      <c r="X51" s="22">
        <f t="shared" ref="X51:X55" si="64">X50</f>
        <v>10</v>
      </c>
      <c r="Y51" s="22">
        <f t="shared" ref="Y51:Y55" si="65">Y50</f>
        <v>10</v>
      </c>
      <c r="Z51" s="23">
        <f t="shared" ref="Z51:Z55" si="66">Z50</f>
        <v>10</v>
      </c>
      <c r="AA51" s="45"/>
      <c r="AB51" s="45"/>
      <c r="AC51" s="21">
        <f>AC50</f>
        <v>11</v>
      </c>
      <c r="AD51" s="22">
        <f t="shared" ref="AD51:AD55" si="67">AD50</f>
        <v>11</v>
      </c>
      <c r="AE51" s="22">
        <f t="shared" ref="AE51:AE55" si="68">AE50</f>
        <v>11</v>
      </c>
      <c r="AF51" s="22">
        <f t="shared" ref="AF51:AF55" si="69">AF50</f>
        <v>11</v>
      </c>
      <c r="AG51" s="22">
        <f t="shared" ref="AG51:AG55" si="70">AG50</f>
        <v>11</v>
      </c>
      <c r="AH51" s="22">
        <f t="shared" ref="AH51:AH55" si="71">AH50</f>
        <v>11</v>
      </c>
      <c r="AI51" s="23">
        <f t="shared" ref="AI51:AI55" si="72">AI50</f>
        <v>11</v>
      </c>
    </row>
    <row r="52" spans="2:35" ht="20.100000000000001" customHeight="1">
      <c r="B52" s="21">
        <f t="shared" ref="B52:B55" si="73">B51</f>
        <v>8</v>
      </c>
      <c r="C52" s="22">
        <f t="shared" si="49"/>
        <v>8</v>
      </c>
      <c r="D52" s="22">
        <f t="shared" si="50"/>
        <v>8</v>
      </c>
      <c r="E52" s="22">
        <f t="shared" si="51"/>
        <v>8</v>
      </c>
      <c r="F52" s="22">
        <f t="shared" si="52"/>
        <v>8</v>
      </c>
      <c r="G52" s="22">
        <f t="shared" si="53"/>
        <v>8</v>
      </c>
      <c r="H52" s="23">
        <f t="shared" si="54"/>
        <v>8</v>
      </c>
      <c r="I52" s="45"/>
      <c r="J52" s="45"/>
      <c r="K52" s="21">
        <f t="shared" ref="K52:K55" si="74">K51</f>
        <v>9</v>
      </c>
      <c r="L52" s="22">
        <f t="shared" si="55"/>
        <v>9</v>
      </c>
      <c r="M52" s="22">
        <f t="shared" si="56"/>
        <v>9</v>
      </c>
      <c r="N52" s="22">
        <f t="shared" si="57"/>
        <v>9</v>
      </c>
      <c r="O52" s="22">
        <f t="shared" si="58"/>
        <v>9</v>
      </c>
      <c r="P52" s="22">
        <f t="shared" si="59"/>
        <v>9</v>
      </c>
      <c r="Q52" s="23">
        <f t="shared" si="60"/>
        <v>9</v>
      </c>
      <c r="R52" s="45"/>
      <c r="S52" s="45"/>
      <c r="T52" s="21">
        <f t="shared" ref="T52:T55" si="75">T51</f>
        <v>10</v>
      </c>
      <c r="U52" s="22">
        <f t="shared" si="61"/>
        <v>10</v>
      </c>
      <c r="V52" s="22">
        <f t="shared" si="62"/>
        <v>10</v>
      </c>
      <c r="W52" s="22">
        <f t="shared" si="63"/>
        <v>10</v>
      </c>
      <c r="X52" s="22">
        <f t="shared" si="64"/>
        <v>10</v>
      </c>
      <c r="Y52" s="22">
        <f t="shared" si="65"/>
        <v>10</v>
      </c>
      <c r="Z52" s="23">
        <f t="shared" si="66"/>
        <v>10</v>
      </c>
      <c r="AA52" s="45"/>
      <c r="AB52" s="45"/>
      <c r="AC52" s="21">
        <f t="shared" ref="AC52:AC55" si="76">AC51</f>
        <v>11</v>
      </c>
      <c r="AD52" s="22">
        <f t="shared" si="67"/>
        <v>11</v>
      </c>
      <c r="AE52" s="22">
        <f t="shared" si="68"/>
        <v>11</v>
      </c>
      <c r="AF52" s="22">
        <f t="shared" si="69"/>
        <v>11</v>
      </c>
      <c r="AG52" s="22">
        <f t="shared" si="70"/>
        <v>11</v>
      </c>
      <c r="AH52" s="22">
        <f t="shared" si="71"/>
        <v>11</v>
      </c>
      <c r="AI52" s="23">
        <f t="shared" si="72"/>
        <v>11</v>
      </c>
    </row>
    <row r="53" spans="2:35" ht="20.100000000000001" customHeight="1">
      <c r="B53" s="21">
        <f t="shared" si="73"/>
        <v>8</v>
      </c>
      <c r="C53" s="22">
        <f t="shared" si="49"/>
        <v>8</v>
      </c>
      <c r="D53" s="22">
        <f t="shared" si="50"/>
        <v>8</v>
      </c>
      <c r="E53" s="22">
        <f t="shared" si="51"/>
        <v>8</v>
      </c>
      <c r="F53" s="22">
        <f t="shared" si="52"/>
        <v>8</v>
      </c>
      <c r="G53" s="22">
        <f t="shared" si="53"/>
        <v>8</v>
      </c>
      <c r="H53" s="23">
        <f t="shared" si="54"/>
        <v>8</v>
      </c>
      <c r="I53" s="45"/>
      <c r="J53" s="45"/>
      <c r="K53" s="21">
        <f t="shared" si="74"/>
        <v>9</v>
      </c>
      <c r="L53" s="22">
        <f t="shared" si="55"/>
        <v>9</v>
      </c>
      <c r="M53" s="22">
        <f t="shared" si="56"/>
        <v>9</v>
      </c>
      <c r="N53" s="22">
        <f t="shared" si="57"/>
        <v>9</v>
      </c>
      <c r="O53" s="22">
        <f t="shared" si="58"/>
        <v>9</v>
      </c>
      <c r="P53" s="22">
        <f t="shared" si="59"/>
        <v>9</v>
      </c>
      <c r="Q53" s="23">
        <f t="shared" si="60"/>
        <v>9</v>
      </c>
      <c r="R53" s="45"/>
      <c r="S53" s="45"/>
      <c r="T53" s="21">
        <f t="shared" si="75"/>
        <v>10</v>
      </c>
      <c r="U53" s="22">
        <f t="shared" si="61"/>
        <v>10</v>
      </c>
      <c r="V53" s="22">
        <f t="shared" si="62"/>
        <v>10</v>
      </c>
      <c r="W53" s="22">
        <f t="shared" si="63"/>
        <v>10</v>
      </c>
      <c r="X53" s="22">
        <f t="shared" si="64"/>
        <v>10</v>
      </c>
      <c r="Y53" s="22">
        <f t="shared" si="65"/>
        <v>10</v>
      </c>
      <c r="Z53" s="23">
        <f t="shared" si="66"/>
        <v>10</v>
      </c>
      <c r="AA53" s="45"/>
      <c r="AB53" s="45"/>
      <c r="AC53" s="21">
        <f t="shared" si="76"/>
        <v>11</v>
      </c>
      <c r="AD53" s="22">
        <f t="shared" si="67"/>
        <v>11</v>
      </c>
      <c r="AE53" s="22">
        <f t="shared" si="68"/>
        <v>11</v>
      </c>
      <c r="AF53" s="22">
        <f t="shared" si="69"/>
        <v>11</v>
      </c>
      <c r="AG53" s="22">
        <f t="shared" si="70"/>
        <v>11</v>
      </c>
      <c r="AH53" s="22">
        <f t="shared" si="71"/>
        <v>11</v>
      </c>
      <c r="AI53" s="23">
        <f t="shared" si="72"/>
        <v>11</v>
      </c>
    </row>
    <row r="54" spans="2:35" ht="20.100000000000001" customHeight="1">
      <c r="B54" s="21">
        <f t="shared" si="73"/>
        <v>8</v>
      </c>
      <c r="C54" s="22">
        <f t="shared" si="49"/>
        <v>8</v>
      </c>
      <c r="D54" s="22">
        <f t="shared" si="50"/>
        <v>8</v>
      </c>
      <c r="E54" s="22">
        <f t="shared" si="51"/>
        <v>8</v>
      </c>
      <c r="F54" s="22">
        <f t="shared" si="52"/>
        <v>8</v>
      </c>
      <c r="G54" s="22">
        <f t="shared" si="53"/>
        <v>8</v>
      </c>
      <c r="H54" s="23">
        <f t="shared" si="54"/>
        <v>8</v>
      </c>
      <c r="I54" s="45"/>
      <c r="J54" s="45"/>
      <c r="K54" s="21">
        <f t="shared" si="74"/>
        <v>9</v>
      </c>
      <c r="L54" s="22">
        <f t="shared" si="55"/>
        <v>9</v>
      </c>
      <c r="M54" s="22">
        <f t="shared" si="56"/>
        <v>9</v>
      </c>
      <c r="N54" s="22">
        <f t="shared" si="57"/>
        <v>9</v>
      </c>
      <c r="O54" s="22">
        <f t="shared" si="58"/>
        <v>9</v>
      </c>
      <c r="P54" s="22">
        <f t="shared" si="59"/>
        <v>9</v>
      </c>
      <c r="Q54" s="23">
        <f t="shared" si="60"/>
        <v>9</v>
      </c>
      <c r="R54" s="45"/>
      <c r="S54" s="45"/>
      <c r="T54" s="21">
        <f t="shared" si="75"/>
        <v>10</v>
      </c>
      <c r="U54" s="22">
        <f t="shared" si="61"/>
        <v>10</v>
      </c>
      <c r="V54" s="22">
        <f t="shared" si="62"/>
        <v>10</v>
      </c>
      <c r="W54" s="22">
        <f t="shared" si="63"/>
        <v>10</v>
      </c>
      <c r="X54" s="22">
        <f t="shared" si="64"/>
        <v>10</v>
      </c>
      <c r="Y54" s="22">
        <f t="shared" si="65"/>
        <v>10</v>
      </c>
      <c r="Z54" s="23">
        <f t="shared" si="66"/>
        <v>10</v>
      </c>
      <c r="AA54" s="45"/>
      <c r="AB54" s="45"/>
      <c r="AC54" s="21">
        <f t="shared" si="76"/>
        <v>11</v>
      </c>
      <c r="AD54" s="22">
        <f t="shared" si="67"/>
        <v>11</v>
      </c>
      <c r="AE54" s="22">
        <f t="shared" si="68"/>
        <v>11</v>
      </c>
      <c r="AF54" s="22">
        <f t="shared" si="69"/>
        <v>11</v>
      </c>
      <c r="AG54" s="22">
        <f t="shared" si="70"/>
        <v>11</v>
      </c>
      <c r="AH54" s="22">
        <f t="shared" si="71"/>
        <v>11</v>
      </c>
      <c r="AI54" s="23">
        <f t="shared" si="72"/>
        <v>11</v>
      </c>
    </row>
    <row r="55" spans="2:35" ht="20.100000000000001" customHeight="1">
      <c r="B55" s="24">
        <f t="shared" si="73"/>
        <v>8</v>
      </c>
      <c r="C55" s="25">
        <f t="shared" si="49"/>
        <v>8</v>
      </c>
      <c r="D55" s="25">
        <f t="shared" si="50"/>
        <v>8</v>
      </c>
      <c r="E55" s="25">
        <f t="shared" si="51"/>
        <v>8</v>
      </c>
      <c r="F55" s="25">
        <f t="shared" si="52"/>
        <v>8</v>
      </c>
      <c r="G55" s="25">
        <f t="shared" si="53"/>
        <v>8</v>
      </c>
      <c r="H55" s="26">
        <f t="shared" si="54"/>
        <v>8</v>
      </c>
      <c r="I55" s="45"/>
      <c r="J55" s="45"/>
      <c r="K55" s="24">
        <f t="shared" si="74"/>
        <v>9</v>
      </c>
      <c r="L55" s="25">
        <f t="shared" si="55"/>
        <v>9</v>
      </c>
      <c r="M55" s="25">
        <f t="shared" si="56"/>
        <v>9</v>
      </c>
      <c r="N55" s="25">
        <f t="shared" si="57"/>
        <v>9</v>
      </c>
      <c r="O55" s="25">
        <f t="shared" si="58"/>
        <v>9</v>
      </c>
      <c r="P55" s="25">
        <f t="shared" si="59"/>
        <v>9</v>
      </c>
      <c r="Q55" s="26">
        <f t="shared" si="60"/>
        <v>9</v>
      </c>
      <c r="R55" s="45"/>
      <c r="S55" s="45"/>
      <c r="T55" s="24">
        <f t="shared" si="75"/>
        <v>10</v>
      </c>
      <c r="U55" s="25">
        <f t="shared" si="61"/>
        <v>10</v>
      </c>
      <c r="V55" s="25">
        <f t="shared" si="62"/>
        <v>10</v>
      </c>
      <c r="W55" s="25">
        <f t="shared" si="63"/>
        <v>10</v>
      </c>
      <c r="X55" s="25">
        <f t="shared" si="64"/>
        <v>10</v>
      </c>
      <c r="Y55" s="25">
        <f t="shared" si="65"/>
        <v>10</v>
      </c>
      <c r="Z55" s="26">
        <f t="shared" si="66"/>
        <v>10</v>
      </c>
      <c r="AA55" s="45"/>
      <c r="AB55" s="45"/>
      <c r="AC55" s="24">
        <f t="shared" si="76"/>
        <v>11</v>
      </c>
      <c r="AD55" s="25">
        <f t="shared" si="67"/>
        <v>11</v>
      </c>
      <c r="AE55" s="25">
        <f t="shared" si="68"/>
        <v>11</v>
      </c>
      <c r="AF55" s="25">
        <f t="shared" si="69"/>
        <v>11</v>
      </c>
      <c r="AG55" s="25">
        <f t="shared" si="70"/>
        <v>11</v>
      </c>
      <c r="AH55" s="25">
        <f t="shared" si="71"/>
        <v>11</v>
      </c>
      <c r="AI55" s="26">
        <f t="shared" si="72"/>
        <v>11</v>
      </c>
    </row>
    <row r="56" spans="2:35" ht="20.100000000000001" customHeight="1">
      <c r="C56" s="27"/>
      <c r="D56" s="27"/>
      <c r="E56" s="27"/>
      <c r="F56" s="27"/>
      <c r="G56" s="27"/>
      <c r="L56" s="27"/>
      <c r="M56" s="27"/>
      <c r="N56" s="27"/>
      <c r="O56" s="27"/>
      <c r="P56" s="27"/>
      <c r="U56" s="27"/>
      <c r="V56" s="27"/>
      <c r="W56" s="27"/>
      <c r="X56" s="27"/>
      <c r="Y56" s="27"/>
      <c r="AD56" s="27"/>
      <c r="AE56" s="27"/>
      <c r="AF56" s="27"/>
      <c r="AG56" s="27"/>
      <c r="AH56" s="27"/>
    </row>
    <row r="57" spans="2:35" ht="20.100000000000001" customHeight="1">
      <c r="B57" s="14">
        <f>IF(AC48+1&gt;12,AC48-11,AC48+1)</f>
        <v>12</v>
      </c>
      <c r="C57" s="28" t="s">
        <v>1</v>
      </c>
      <c r="D57" s="29" t="str">
        <f>TEXT(DATE(2000,B57,1),"mmmm")</f>
        <v>December</v>
      </c>
      <c r="E57" s="29"/>
      <c r="F57" s="29"/>
      <c r="G57" s="29"/>
      <c r="H57" s="16"/>
      <c r="I57" s="44"/>
      <c r="J57" s="44"/>
      <c r="K57" s="14">
        <f>IF(B57+1&gt;12,B57-11,B57+1)</f>
        <v>1</v>
      </c>
      <c r="L57" s="28" t="s">
        <v>1</v>
      </c>
      <c r="M57" s="29" t="str">
        <f>TEXT(DATE(2000,K57,1),"mmmm")</f>
        <v>January</v>
      </c>
      <c r="N57" s="29"/>
      <c r="O57" s="29"/>
      <c r="P57" s="29"/>
      <c r="Q57" s="16"/>
      <c r="R57" s="44"/>
      <c r="S57" s="44"/>
      <c r="T57" s="14">
        <f>IF(K57+1&gt;12,K57-11,K57+1)</f>
        <v>2</v>
      </c>
      <c r="U57" s="28" t="s">
        <v>1</v>
      </c>
      <c r="V57" s="29" t="str">
        <f>TEXT(DATE(2000,T57,1),"mmmm")</f>
        <v>February</v>
      </c>
      <c r="W57" s="29"/>
      <c r="X57" s="29"/>
      <c r="Y57" s="29"/>
      <c r="Z57" s="16"/>
      <c r="AA57" s="44"/>
      <c r="AB57" s="44"/>
      <c r="AC57" s="14">
        <f>IF(T57+1&gt;12,T57-11,T57+1)</f>
        <v>3</v>
      </c>
      <c r="AD57" s="28" t="s">
        <v>1</v>
      </c>
      <c r="AE57" s="29" t="str">
        <f>TEXT(DATE(2000,AC57,1),"mmmm")</f>
        <v>March</v>
      </c>
      <c r="AF57" s="29"/>
      <c r="AG57" s="29"/>
      <c r="AH57" s="29"/>
      <c r="AI57" s="16"/>
    </row>
    <row r="58" spans="2:35" ht="20.100000000000001" customHeight="1">
      <c r="B58" s="18" t="s">
        <v>2</v>
      </c>
      <c r="C58" s="31" t="s">
        <v>3</v>
      </c>
      <c r="D58" s="31" t="s">
        <v>4</v>
      </c>
      <c r="E58" s="31" t="s">
        <v>5</v>
      </c>
      <c r="F58" s="31" t="s">
        <v>6</v>
      </c>
      <c r="G58" s="31" t="s">
        <v>7</v>
      </c>
      <c r="H58" s="20" t="s">
        <v>8</v>
      </c>
      <c r="K58" s="18" t="s">
        <v>2</v>
      </c>
      <c r="L58" s="31" t="s">
        <v>3</v>
      </c>
      <c r="M58" s="31" t="s">
        <v>4</v>
      </c>
      <c r="N58" s="31" t="s">
        <v>5</v>
      </c>
      <c r="O58" s="31" t="s">
        <v>6</v>
      </c>
      <c r="P58" s="31" t="s">
        <v>7</v>
      </c>
      <c r="Q58" s="20" t="s">
        <v>8</v>
      </c>
      <c r="T58" s="18" t="s">
        <v>2</v>
      </c>
      <c r="U58" s="31" t="s">
        <v>3</v>
      </c>
      <c r="V58" s="31" t="s">
        <v>4</v>
      </c>
      <c r="W58" s="31" t="s">
        <v>5</v>
      </c>
      <c r="X58" s="31" t="s">
        <v>6</v>
      </c>
      <c r="Y58" s="31" t="s">
        <v>7</v>
      </c>
      <c r="Z58" s="20" t="s">
        <v>8</v>
      </c>
      <c r="AC58" s="18" t="s">
        <v>2</v>
      </c>
      <c r="AD58" s="31" t="s">
        <v>3</v>
      </c>
      <c r="AE58" s="31" t="s">
        <v>4</v>
      </c>
      <c r="AF58" s="31" t="s">
        <v>5</v>
      </c>
      <c r="AG58" s="31" t="s">
        <v>6</v>
      </c>
      <c r="AH58" s="31" t="s">
        <v>7</v>
      </c>
      <c r="AI58" s="20" t="s">
        <v>8</v>
      </c>
    </row>
    <row r="59" spans="2:35" ht="20.100000000000001" customHeight="1">
      <c r="B59" s="21">
        <f>IF(AC50+1&gt;12,AC50-11,AC50+1)</f>
        <v>12</v>
      </c>
      <c r="C59" s="22">
        <f>B59</f>
        <v>12</v>
      </c>
      <c r="D59" s="22">
        <f t="shared" ref="D59:H59" si="77">C59</f>
        <v>12</v>
      </c>
      <c r="E59" s="22">
        <f t="shared" si="77"/>
        <v>12</v>
      </c>
      <c r="F59" s="22">
        <f t="shared" si="77"/>
        <v>12</v>
      </c>
      <c r="G59" s="22">
        <f>F59</f>
        <v>12</v>
      </c>
      <c r="H59" s="23">
        <f t="shared" si="77"/>
        <v>12</v>
      </c>
      <c r="I59" s="45"/>
      <c r="J59" s="45"/>
      <c r="K59" s="21">
        <f>IF(B59+1&gt;12,B59-11,B59+1)</f>
        <v>1</v>
      </c>
      <c r="L59" s="22">
        <f>K59</f>
        <v>1</v>
      </c>
      <c r="M59" s="22">
        <f t="shared" ref="M59:Q59" si="78">L59</f>
        <v>1</v>
      </c>
      <c r="N59" s="22">
        <f t="shared" si="78"/>
        <v>1</v>
      </c>
      <c r="O59" s="22">
        <f t="shared" si="78"/>
        <v>1</v>
      </c>
      <c r="P59" s="22">
        <f t="shared" si="78"/>
        <v>1</v>
      </c>
      <c r="Q59" s="23">
        <f t="shared" si="78"/>
        <v>1</v>
      </c>
      <c r="R59" s="45"/>
      <c r="S59" s="45"/>
      <c r="T59" s="21">
        <f>IF(K59+1&gt;12,K59-11,K59+1)</f>
        <v>2</v>
      </c>
      <c r="U59" s="22">
        <f>T59</f>
        <v>2</v>
      </c>
      <c r="V59" s="22">
        <f t="shared" ref="V59:Z59" si="79">U59</f>
        <v>2</v>
      </c>
      <c r="W59" s="22">
        <f t="shared" si="79"/>
        <v>2</v>
      </c>
      <c r="X59" s="22">
        <f t="shared" si="79"/>
        <v>2</v>
      </c>
      <c r="Y59" s="22">
        <f t="shared" si="79"/>
        <v>2</v>
      </c>
      <c r="Z59" s="23">
        <f t="shared" si="79"/>
        <v>2</v>
      </c>
      <c r="AA59" s="45"/>
      <c r="AB59" s="45"/>
      <c r="AC59" s="21">
        <f>IF(T59+1&gt;12,T59-11,T59+1)</f>
        <v>3</v>
      </c>
      <c r="AD59" s="22">
        <f>AC59</f>
        <v>3</v>
      </c>
      <c r="AE59" s="22">
        <f t="shared" ref="AE59:AI59" si="80">AD59</f>
        <v>3</v>
      </c>
      <c r="AF59" s="22">
        <f t="shared" si="80"/>
        <v>3</v>
      </c>
      <c r="AG59" s="22">
        <f t="shared" si="80"/>
        <v>3</v>
      </c>
      <c r="AH59" s="22">
        <f t="shared" si="80"/>
        <v>3</v>
      </c>
      <c r="AI59" s="23">
        <f t="shared" si="80"/>
        <v>3</v>
      </c>
    </row>
    <row r="60" spans="2:35" ht="20.100000000000001" customHeight="1">
      <c r="B60" s="21">
        <f>B59</f>
        <v>12</v>
      </c>
      <c r="C60" s="22">
        <f t="shared" ref="C60:C64" si="81">C59</f>
        <v>12</v>
      </c>
      <c r="D60" s="22">
        <f t="shared" ref="D60:D64" si="82">D59</f>
        <v>12</v>
      </c>
      <c r="E60" s="22">
        <f t="shared" ref="E60:E64" si="83">E59</f>
        <v>12</v>
      </c>
      <c r="F60" s="22">
        <f t="shared" ref="F60:F64" si="84">F59</f>
        <v>12</v>
      </c>
      <c r="G60" s="22">
        <f t="shared" ref="G60:G64" si="85">G59</f>
        <v>12</v>
      </c>
      <c r="H60" s="23">
        <f t="shared" ref="H60:H64" si="86">H59</f>
        <v>12</v>
      </c>
      <c r="I60" s="45"/>
      <c r="J60" s="45"/>
      <c r="K60" s="21">
        <f>K59</f>
        <v>1</v>
      </c>
      <c r="L60" s="22">
        <f t="shared" ref="L60:L64" si="87">L59</f>
        <v>1</v>
      </c>
      <c r="M60" s="22">
        <f t="shared" ref="M60:M64" si="88">M59</f>
        <v>1</v>
      </c>
      <c r="N60" s="22">
        <f t="shared" ref="N60:N64" si="89">N59</f>
        <v>1</v>
      </c>
      <c r="O60" s="22">
        <f t="shared" ref="O60:O64" si="90">O59</f>
        <v>1</v>
      </c>
      <c r="P60" s="22">
        <f t="shared" ref="P60:P64" si="91">P59</f>
        <v>1</v>
      </c>
      <c r="Q60" s="23">
        <f t="shared" ref="Q60:Q64" si="92">Q59</f>
        <v>1</v>
      </c>
      <c r="R60" s="45"/>
      <c r="S60" s="45"/>
      <c r="T60" s="21">
        <f>T59</f>
        <v>2</v>
      </c>
      <c r="U60" s="22">
        <f t="shared" ref="U60:U64" si="93">U59</f>
        <v>2</v>
      </c>
      <c r="V60" s="22">
        <f t="shared" ref="V60:V64" si="94">V59</f>
        <v>2</v>
      </c>
      <c r="W60" s="22">
        <f t="shared" ref="W60:W64" si="95">W59</f>
        <v>2</v>
      </c>
      <c r="X60" s="22">
        <f t="shared" ref="X60:X64" si="96">X59</f>
        <v>2</v>
      </c>
      <c r="Y60" s="22">
        <f t="shared" ref="Y60:Y64" si="97">Y59</f>
        <v>2</v>
      </c>
      <c r="Z60" s="23">
        <f t="shared" ref="Z60:Z64" si="98">Z59</f>
        <v>2</v>
      </c>
      <c r="AA60" s="45"/>
      <c r="AB60" s="45"/>
      <c r="AC60" s="21">
        <f>AC59</f>
        <v>3</v>
      </c>
      <c r="AD60" s="22">
        <f t="shared" ref="AD60:AD64" si="99">AD59</f>
        <v>3</v>
      </c>
      <c r="AE60" s="22">
        <f t="shared" ref="AE60:AE64" si="100">AE59</f>
        <v>3</v>
      </c>
      <c r="AF60" s="22">
        <f t="shared" ref="AF60:AF64" si="101">AF59</f>
        <v>3</v>
      </c>
      <c r="AG60" s="22">
        <f t="shared" ref="AG60:AG64" si="102">AG59</f>
        <v>3</v>
      </c>
      <c r="AH60" s="22">
        <f t="shared" ref="AH60:AH64" si="103">AH59</f>
        <v>3</v>
      </c>
      <c r="AI60" s="23">
        <f t="shared" ref="AI60:AI64" si="104">AI59</f>
        <v>3</v>
      </c>
    </row>
    <row r="61" spans="2:35" ht="20.100000000000001" customHeight="1">
      <c r="B61" s="21">
        <f t="shared" ref="B61:B64" si="105">B60</f>
        <v>12</v>
      </c>
      <c r="C61" s="22">
        <f t="shared" si="81"/>
        <v>12</v>
      </c>
      <c r="D61" s="22">
        <f t="shared" si="82"/>
        <v>12</v>
      </c>
      <c r="E61" s="22">
        <f t="shared" si="83"/>
        <v>12</v>
      </c>
      <c r="F61" s="22">
        <f t="shared" si="84"/>
        <v>12</v>
      </c>
      <c r="G61" s="22">
        <f t="shared" si="85"/>
        <v>12</v>
      </c>
      <c r="H61" s="23">
        <f t="shared" si="86"/>
        <v>12</v>
      </c>
      <c r="I61" s="45"/>
      <c r="J61" s="45"/>
      <c r="K61" s="21">
        <f t="shared" ref="K61:K64" si="106">K60</f>
        <v>1</v>
      </c>
      <c r="L61" s="22">
        <f t="shared" si="87"/>
        <v>1</v>
      </c>
      <c r="M61" s="22">
        <f t="shared" si="88"/>
        <v>1</v>
      </c>
      <c r="N61" s="22">
        <f t="shared" si="89"/>
        <v>1</v>
      </c>
      <c r="O61" s="22">
        <f t="shared" si="90"/>
        <v>1</v>
      </c>
      <c r="P61" s="22">
        <f t="shared" si="91"/>
        <v>1</v>
      </c>
      <c r="Q61" s="23">
        <f t="shared" si="92"/>
        <v>1</v>
      </c>
      <c r="R61" s="45"/>
      <c r="S61" s="45"/>
      <c r="T61" s="21">
        <f t="shared" ref="T61:T64" si="107">T60</f>
        <v>2</v>
      </c>
      <c r="U61" s="22">
        <f t="shared" si="93"/>
        <v>2</v>
      </c>
      <c r="V61" s="22">
        <f t="shared" si="94"/>
        <v>2</v>
      </c>
      <c r="W61" s="22">
        <f t="shared" si="95"/>
        <v>2</v>
      </c>
      <c r="X61" s="22">
        <f t="shared" si="96"/>
        <v>2</v>
      </c>
      <c r="Y61" s="22">
        <f t="shared" si="97"/>
        <v>2</v>
      </c>
      <c r="Z61" s="23">
        <f t="shared" si="98"/>
        <v>2</v>
      </c>
      <c r="AA61" s="45"/>
      <c r="AB61" s="45"/>
      <c r="AC61" s="21">
        <f t="shared" ref="AC61:AC64" si="108">AC60</f>
        <v>3</v>
      </c>
      <c r="AD61" s="22">
        <f t="shared" si="99"/>
        <v>3</v>
      </c>
      <c r="AE61" s="22">
        <f t="shared" si="100"/>
        <v>3</v>
      </c>
      <c r="AF61" s="22">
        <f t="shared" si="101"/>
        <v>3</v>
      </c>
      <c r="AG61" s="22">
        <f t="shared" si="102"/>
        <v>3</v>
      </c>
      <c r="AH61" s="22">
        <f t="shared" si="103"/>
        <v>3</v>
      </c>
      <c r="AI61" s="23">
        <f t="shared" si="104"/>
        <v>3</v>
      </c>
    </row>
    <row r="62" spans="2:35" ht="20.100000000000001" customHeight="1">
      <c r="B62" s="21">
        <f t="shared" si="105"/>
        <v>12</v>
      </c>
      <c r="C62" s="22">
        <f t="shared" si="81"/>
        <v>12</v>
      </c>
      <c r="D62" s="22">
        <f t="shared" si="82"/>
        <v>12</v>
      </c>
      <c r="E62" s="22">
        <f t="shared" si="83"/>
        <v>12</v>
      </c>
      <c r="F62" s="22">
        <f t="shared" si="84"/>
        <v>12</v>
      </c>
      <c r="G62" s="22">
        <f t="shared" si="85"/>
        <v>12</v>
      </c>
      <c r="H62" s="23">
        <f t="shared" si="86"/>
        <v>12</v>
      </c>
      <c r="I62" s="45"/>
      <c r="J62" s="45"/>
      <c r="K62" s="21">
        <f t="shared" si="106"/>
        <v>1</v>
      </c>
      <c r="L62" s="22">
        <f t="shared" si="87"/>
        <v>1</v>
      </c>
      <c r="M62" s="22">
        <f t="shared" si="88"/>
        <v>1</v>
      </c>
      <c r="N62" s="22">
        <f t="shared" si="89"/>
        <v>1</v>
      </c>
      <c r="O62" s="22">
        <f t="shared" si="90"/>
        <v>1</v>
      </c>
      <c r="P62" s="22">
        <f t="shared" si="91"/>
        <v>1</v>
      </c>
      <c r="Q62" s="23">
        <f t="shared" si="92"/>
        <v>1</v>
      </c>
      <c r="R62" s="45"/>
      <c r="S62" s="45"/>
      <c r="T62" s="21">
        <f t="shared" si="107"/>
        <v>2</v>
      </c>
      <c r="U62" s="22">
        <f t="shared" si="93"/>
        <v>2</v>
      </c>
      <c r="V62" s="22">
        <f t="shared" si="94"/>
        <v>2</v>
      </c>
      <c r="W62" s="22">
        <f t="shared" si="95"/>
        <v>2</v>
      </c>
      <c r="X62" s="22">
        <f t="shared" si="96"/>
        <v>2</v>
      </c>
      <c r="Y62" s="22">
        <f t="shared" si="97"/>
        <v>2</v>
      </c>
      <c r="Z62" s="23">
        <f t="shared" si="98"/>
        <v>2</v>
      </c>
      <c r="AA62" s="45"/>
      <c r="AB62" s="45"/>
      <c r="AC62" s="21">
        <f t="shared" si="108"/>
        <v>3</v>
      </c>
      <c r="AD62" s="22">
        <f t="shared" si="99"/>
        <v>3</v>
      </c>
      <c r="AE62" s="22">
        <f t="shared" si="100"/>
        <v>3</v>
      </c>
      <c r="AF62" s="22">
        <f t="shared" si="101"/>
        <v>3</v>
      </c>
      <c r="AG62" s="22">
        <f t="shared" si="102"/>
        <v>3</v>
      </c>
      <c r="AH62" s="22">
        <f t="shared" si="103"/>
        <v>3</v>
      </c>
      <c r="AI62" s="23">
        <f t="shared" si="104"/>
        <v>3</v>
      </c>
    </row>
    <row r="63" spans="2:35" ht="20.100000000000001" customHeight="1">
      <c r="B63" s="21">
        <f t="shared" si="105"/>
        <v>12</v>
      </c>
      <c r="C63" s="22">
        <f t="shared" si="81"/>
        <v>12</v>
      </c>
      <c r="D63" s="22">
        <f t="shared" si="82"/>
        <v>12</v>
      </c>
      <c r="E63" s="22">
        <f t="shared" si="83"/>
        <v>12</v>
      </c>
      <c r="F63" s="22">
        <f t="shared" si="84"/>
        <v>12</v>
      </c>
      <c r="G63" s="22">
        <f t="shared" si="85"/>
        <v>12</v>
      </c>
      <c r="H63" s="23">
        <f t="shared" si="86"/>
        <v>12</v>
      </c>
      <c r="I63" s="45"/>
      <c r="J63" s="45"/>
      <c r="K63" s="21">
        <f t="shared" si="106"/>
        <v>1</v>
      </c>
      <c r="L63" s="22">
        <f t="shared" si="87"/>
        <v>1</v>
      </c>
      <c r="M63" s="22">
        <f t="shared" si="88"/>
        <v>1</v>
      </c>
      <c r="N63" s="22">
        <f t="shared" si="89"/>
        <v>1</v>
      </c>
      <c r="O63" s="22">
        <f t="shared" si="90"/>
        <v>1</v>
      </c>
      <c r="P63" s="22">
        <f t="shared" si="91"/>
        <v>1</v>
      </c>
      <c r="Q63" s="23">
        <f t="shared" si="92"/>
        <v>1</v>
      </c>
      <c r="R63" s="45"/>
      <c r="S63" s="45"/>
      <c r="T63" s="21">
        <f t="shared" si="107"/>
        <v>2</v>
      </c>
      <c r="U63" s="22">
        <f t="shared" si="93"/>
        <v>2</v>
      </c>
      <c r="V63" s="22">
        <f t="shared" si="94"/>
        <v>2</v>
      </c>
      <c r="W63" s="22">
        <f t="shared" si="95"/>
        <v>2</v>
      </c>
      <c r="X63" s="22">
        <f t="shared" si="96"/>
        <v>2</v>
      </c>
      <c r="Y63" s="22">
        <f t="shared" si="97"/>
        <v>2</v>
      </c>
      <c r="Z63" s="23">
        <f t="shared" si="98"/>
        <v>2</v>
      </c>
      <c r="AA63" s="45"/>
      <c r="AB63" s="45"/>
      <c r="AC63" s="21">
        <f t="shared" si="108"/>
        <v>3</v>
      </c>
      <c r="AD63" s="22">
        <f t="shared" si="99"/>
        <v>3</v>
      </c>
      <c r="AE63" s="22">
        <f t="shared" si="100"/>
        <v>3</v>
      </c>
      <c r="AF63" s="22">
        <f t="shared" si="101"/>
        <v>3</v>
      </c>
      <c r="AG63" s="22">
        <f t="shared" si="102"/>
        <v>3</v>
      </c>
      <c r="AH63" s="22">
        <f t="shared" si="103"/>
        <v>3</v>
      </c>
      <c r="AI63" s="23">
        <f t="shared" si="104"/>
        <v>3</v>
      </c>
    </row>
    <row r="64" spans="2:35" ht="20.100000000000001" customHeight="1">
      <c r="B64" s="24">
        <f t="shared" si="105"/>
        <v>12</v>
      </c>
      <c r="C64" s="25">
        <f t="shared" si="81"/>
        <v>12</v>
      </c>
      <c r="D64" s="25">
        <f t="shared" si="82"/>
        <v>12</v>
      </c>
      <c r="E64" s="25">
        <f t="shared" si="83"/>
        <v>12</v>
      </c>
      <c r="F64" s="25">
        <f t="shared" si="84"/>
        <v>12</v>
      </c>
      <c r="G64" s="25">
        <f t="shared" si="85"/>
        <v>12</v>
      </c>
      <c r="H64" s="26">
        <f t="shared" si="86"/>
        <v>12</v>
      </c>
      <c r="I64" s="45"/>
      <c r="J64" s="45"/>
      <c r="K64" s="24">
        <f t="shared" si="106"/>
        <v>1</v>
      </c>
      <c r="L64" s="25">
        <f t="shared" si="87"/>
        <v>1</v>
      </c>
      <c r="M64" s="25">
        <f t="shared" si="88"/>
        <v>1</v>
      </c>
      <c r="N64" s="25">
        <f t="shared" si="89"/>
        <v>1</v>
      </c>
      <c r="O64" s="25">
        <f t="shared" si="90"/>
        <v>1</v>
      </c>
      <c r="P64" s="25">
        <f t="shared" si="91"/>
        <v>1</v>
      </c>
      <c r="Q64" s="26">
        <f t="shared" si="92"/>
        <v>1</v>
      </c>
      <c r="R64" s="45"/>
      <c r="S64" s="45"/>
      <c r="T64" s="24">
        <f t="shared" si="107"/>
        <v>2</v>
      </c>
      <c r="U64" s="25">
        <f t="shared" si="93"/>
        <v>2</v>
      </c>
      <c r="V64" s="25">
        <f t="shared" si="94"/>
        <v>2</v>
      </c>
      <c r="W64" s="25">
        <f t="shared" si="95"/>
        <v>2</v>
      </c>
      <c r="X64" s="25">
        <f t="shared" si="96"/>
        <v>2</v>
      </c>
      <c r="Y64" s="25">
        <f t="shared" si="97"/>
        <v>2</v>
      </c>
      <c r="Z64" s="26">
        <f t="shared" si="98"/>
        <v>2</v>
      </c>
      <c r="AA64" s="45"/>
      <c r="AB64" s="45"/>
      <c r="AC64" s="24">
        <f t="shared" si="108"/>
        <v>3</v>
      </c>
      <c r="AD64" s="25">
        <f t="shared" si="99"/>
        <v>3</v>
      </c>
      <c r="AE64" s="25">
        <f t="shared" si="100"/>
        <v>3</v>
      </c>
      <c r="AF64" s="25">
        <f t="shared" si="101"/>
        <v>3</v>
      </c>
      <c r="AG64" s="25">
        <f t="shared" si="102"/>
        <v>3</v>
      </c>
      <c r="AH64" s="25">
        <f t="shared" si="103"/>
        <v>3</v>
      </c>
      <c r="AI64" s="26">
        <f t="shared" si="104"/>
        <v>3</v>
      </c>
    </row>
  </sheetData>
  <mergeCells count="3">
    <mergeCell ref="B1:E1"/>
    <mergeCell ref="F1:K1"/>
    <mergeCell ref="L1:O1"/>
  </mergeCells>
  <phoneticPr fontId="1"/>
  <conditionalFormatting sqref="B4:H9 B13:H18 B22:H27 K4:Q9 T4:Z9 AC4:AI9 K13:Q18 T13:Z18 AC13:AI18 K22:Q27 T22:Z27 AC22:AI27">
    <cfRule type="expression" dxfId="31" priority="2">
      <formula>MONTH(B4)&lt;&gt;B41</formula>
    </cfRule>
  </conditionalFormatting>
  <printOptions horizontalCentered="1" verticalCentered="1"/>
  <pageMargins left="0" right="0" top="0" bottom="0" header="0" footer="0"/>
  <pageSetup paperSize="9" scale="71"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F3594303-FC5E-4DA6-A51A-93B8F4DB86CB}">
            <xm:f>COUNTIF(祝日リスト!$A:$Z,B4)&gt;0</xm:f>
            <x14:dxf>
              <font>
                <color rgb="FFFF0000"/>
              </font>
            </x14:dxf>
          </x14:cfRule>
          <xm:sqref>B4:H9 B13:H18 B22:H27 K4:Q9 T4:Z9 AC4:AI9 K13:Q18 T13:Z18 AC13:AI18 K22:Q27 T22:Z27 AC22:AI27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59"/>
  <sheetViews>
    <sheetView topLeftCell="S1" workbookViewId="0">
      <selection activeCell="E5" sqref="E5"/>
    </sheetView>
  </sheetViews>
  <sheetFormatPr defaultColWidth="20.625" defaultRowHeight="18.75"/>
  <cols>
    <col min="1" max="1" width="14.125" style="39" customWidth="1"/>
    <col min="2" max="2" width="14.125" style="35" customWidth="1"/>
    <col min="3" max="6" width="14.125" customWidth="1"/>
  </cols>
  <sheetData>
    <row r="1" spans="1:20">
      <c r="A1" s="38" t="s">
        <v>9</v>
      </c>
      <c r="B1" s="33" t="s">
        <v>10</v>
      </c>
      <c r="C1" s="38" t="s">
        <v>9</v>
      </c>
      <c r="D1" s="33" t="s">
        <v>10</v>
      </c>
      <c r="E1" s="38" t="s">
        <v>9</v>
      </c>
      <c r="F1" s="33" t="s">
        <v>10</v>
      </c>
      <c r="T1">
        <v>17</v>
      </c>
    </row>
    <row r="2" spans="1:20">
      <c r="A2" s="39">
        <v>45292</v>
      </c>
      <c r="B2" s="34" t="s">
        <v>11</v>
      </c>
      <c r="C2" s="39">
        <v>45658</v>
      </c>
      <c r="D2" s="34" t="s">
        <v>11</v>
      </c>
      <c r="E2" s="39">
        <v>46023</v>
      </c>
      <c r="F2" s="34" t="s">
        <v>11</v>
      </c>
    </row>
    <row r="3" spans="1:20">
      <c r="A3" s="39">
        <v>45299</v>
      </c>
      <c r="B3" s="34" t="s">
        <v>12</v>
      </c>
      <c r="C3" s="39">
        <v>45670</v>
      </c>
      <c r="D3" s="34" t="s">
        <v>12</v>
      </c>
      <c r="E3" s="39">
        <v>46034</v>
      </c>
      <c r="F3" s="34" t="s">
        <v>12</v>
      </c>
    </row>
    <row r="4" spans="1:20">
      <c r="A4" s="39">
        <v>45333</v>
      </c>
      <c r="B4" s="34" t="s">
        <v>13</v>
      </c>
      <c r="C4" s="39">
        <v>45699</v>
      </c>
      <c r="D4" s="34" t="s">
        <v>13</v>
      </c>
      <c r="E4" s="39">
        <v>46064</v>
      </c>
      <c r="F4" s="34" t="s">
        <v>13</v>
      </c>
    </row>
    <row r="5" spans="1:20">
      <c r="A5" s="39">
        <v>45334</v>
      </c>
      <c r="B5" s="34" t="s">
        <v>14</v>
      </c>
      <c r="C5" s="39">
        <v>45711</v>
      </c>
      <c r="D5" s="34" t="s">
        <v>15</v>
      </c>
      <c r="E5" s="39">
        <v>46076</v>
      </c>
      <c r="F5" s="34" t="s">
        <v>15</v>
      </c>
    </row>
    <row r="6" spans="1:20">
      <c r="A6" s="39">
        <v>45345</v>
      </c>
      <c r="B6" s="34" t="s">
        <v>15</v>
      </c>
      <c r="C6" s="39">
        <v>45712</v>
      </c>
      <c r="D6" s="34" t="s">
        <v>16</v>
      </c>
      <c r="E6" s="39">
        <v>46101</v>
      </c>
      <c r="F6" s="34" t="s">
        <v>17</v>
      </c>
    </row>
    <row r="7" spans="1:20">
      <c r="A7" s="39">
        <v>45371</v>
      </c>
      <c r="B7" s="34" t="s">
        <v>17</v>
      </c>
      <c r="C7" s="39">
        <v>45736</v>
      </c>
      <c r="D7" s="34" t="s">
        <v>17</v>
      </c>
      <c r="E7" s="39">
        <v>46141</v>
      </c>
      <c r="F7" s="34" t="s">
        <v>18</v>
      </c>
    </row>
    <row r="8" spans="1:20">
      <c r="A8" s="39">
        <v>45411</v>
      </c>
      <c r="B8" s="34" t="s">
        <v>18</v>
      </c>
      <c r="C8" s="39">
        <v>45776</v>
      </c>
      <c r="D8" s="34" t="s">
        <v>18</v>
      </c>
      <c r="E8" s="39">
        <v>46145</v>
      </c>
      <c r="F8" s="34" t="s">
        <v>19</v>
      </c>
    </row>
    <row r="9" spans="1:20">
      <c r="A9" s="39">
        <v>45415</v>
      </c>
      <c r="B9" s="34" t="s">
        <v>19</v>
      </c>
      <c r="C9" s="39">
        <v>45780</v>
      </c>
      <c r="D9" s="34" t="s">
        <v>19</v>
      </c>
      <c r="E9" s="39">
        <v>46146</v>
      </c>
      <c r="F9" s="34" t="s">
        <v>20</v>
      </c>
    </row>
    <row r="10" spans="1:20">
      <c r="A10" s="39">
        <v>45416</v>
      </c>
      <c r="B10" s="34" t="s">
        <v>20</v>
      </c>
      <c r="C10" s="39">
        <v>45781</v>
      </c>
      <c r="D10" s="34" t="s">
        <v>20</v>
      </c>
      <c r="E10" s="39">
        <v>46147</v>
      </c>
      <c r="F10" s="34" t="s">
        <v>21</v>
      </c>
    </row>
    <row r="11" spans="1:20">
      <c r="A11" s="39">
        <v>45417</v>
      </c>
      <c r="B11" s="34" t="s">
        <v>21</v>
      </c>
      <c r="C11" s="39">
        <v>45782</v>
      </c>
      <c r="D11" s="34" t="s">
        <v>21</v>
      </c>
      <c r="E11" s="39">
        <v>46148</v>
      </c>
      <c r="F11" s="34" t="s">
        <v>14</v>
      </c>
    </row>
    <row r="12" spans="1:20">
      <c r="A12" s="39">
        <v>45418</v>
      </c>
      <c r="B12" s="34" t="s">
        <v>14</v>
      </c>
      <c r="C12" s="39">
        <v>45783</v>
      </c>
      <c r="D12" s="34" t="s">
        <v>16</v>
      </c>
      <c r="E12" s="39">
        <v>46223</v>
      </c>
      <c r="F12" s="34" t="s">
        <v>22</v>
      </c>
    </row>
    <row r="13" spans="1:20">
      <c r="A13" s="39">
        <v>45488</v>
      </c>
      <c r="B13" s="34" t="s">
        <v>22</v>
      </c>
      <c r="C13" s="39">
        <v>45859</v>
      </c>
      <c r="D13" s="34" t="s">
        <v>22</v>
      </c>
      <c r="E13" s="39">
        <v>46245</v>
      </c>
      <c r="F13" s="34" t="s">
        <v>23</v>
      </c>
    </row>
    <row r="14" spans="1:20">
      <c r="A14" s="39">
        <v>45515</v>
      </c>
      <c r="B14" s="34" t="s">
        <v>23</v>
      </c>
      <c r="C14" s="39">
        <v>45880</v>
      </c>
      <c r="D14" s="34" t="s">
        <v>23</v>
      </c>
      <c r="E14" s="39">
        <v>46286</v>
      </c>
      <c r="F14" s="34" t="s">
        <v>24</v>
      </c>
    </row>
    <row r="15" spans="1:20">
      <c r="A15" s="39">
        <v>45516</v>
      </c>
      <c r="B15" s="34" t="s">
        <v>14</v>
      </c>
      <c r="C15" s="39">
        <v>45915</v>
      </c>
      <c r="D15" s="34" t="s">
        <v>24</v>
      </c>
      <c r="E15" s="39">
        <v>46287</v>
      </c>
      <c r="F15" s="34" t="s">
        <v>14</v>
      </c>
    </row>
    <row r="16" spans="1:20">
      <c r="A16" s="39">
        <v>45551</v>
      </c>
      <c r="B16" s="34" t="s">
        <v>24</v>
      </c>
      <c r="C16" s="39">
        <v>45923</v>
      </c>
      <c r="D16" s="34" t="s">
        <v>25</v>
      </c>
      <c r="E16" s="39">
        <v>46288</v>
      </c>
      <c r="F16" s="34" t="s">
        <v>25</v>
      </c>
    </row>
    <row r="17" spans="1:6">
      <c r="A17" s="39">
        <v>45557</v>
      </c>
      <c r="B17" s="34" t="s">
        <v>25</v>
      </c>
      <c r="C17" s="39">
        <v>45943</v>
      </c>
      <c r="D17" s="34" t="s">
        <v>26</v>
      </c>
      <c r="E17" s="39">
        <v>46307</v>
      </c>
      <c r="F17" s="34" t="s">
        <v>26</v>
      </c>
    </row>
    <row r="18" spans="1:6">
      <c r="A18" s="39">
        <v>45558</v>
      </c>
      <c r="B18" s="34" t="s">
        <v>14</v>
      </c>
      <c r="C18" s="39">
        <v>45964</v>
      </c>
      <c r="D18" s="35" t="s">
        <v>27</v>
      </c>
      <c r="E18" s="39">
        <v>46329</v>
      </c>
      <c r="F18" s="34" t="s">
        <v>27</v>
      </c>
    </row>
    <row r="19" spans="1:6">
      <c r="A19" s="39">
        <v>45579</v>
      </c>
      <c r="B19" s="34" t="s">
        <v>26</v>
      </c>
      <c r="C19" s="39">
        <v>45984</v>
      </c>
      <c r="D19" s="35" t="s">
        <v>28</v>
      </c>
      <c r="E19" s="39">
        <v>46349</v>
      </c>
      <c r="F19" s="34" t="s">
        <v>28</v>
      </c>
    </row>
    <row r="20" spans="1:6">
      <c r="A20" s="39">
        <v>45599</v>
      </c>
      <c r="B20" s="34" t="s">
        <v>27</v>
      </c>
      <c r="C20" s="39">
        <v>45985</v>
      </c>
      <c r="D20" s="35" t="s">
        <v>16</v>
      </c>
    </row>
    <row r="21" spans="1:6">
      <c r="A21" s="39">
        <v>45600</v>
      </c>
      <c r="B21" s="34" t="s">
        <v>14</v>
      </c>
    </row>
    <row r="22" spans="1:6">
      <c r="A22" s="39">
        <v>45619</v>
      </c>
      <c r="B22" s="34" t="s">
        <v>28</v>
      </c>
    </row>
    <row r="42" spans="4:4">
      <c r="D42" s="40"/>
    </row>
    <row r="43" spans="4:4">
      <c r="D43" s="40"/>
    </row>
    <row r="44" spans="4:4">
      <c r="D44" s="40"/>
    </row>
    <row r="45" spans="4:4">
      <c r="D45" s="40"/>
    </row>
    <row r="46" spans="4:4">
      <c r="D46" s="40"/>
    </row>
    <row r="47" spans="4:4">
      <c r="D47" s="40"/>
    </row>
    <row r="48" spans="4:4">
      <c r="D48" s="40"/>
    </row>
    <row r="49" spans="4:4">
      <c r="D49" s="40"/>
    </row>
    <row r="50" spans="4:4">
      <c r="D50" s="40"/>
    </row>
    <row r="51" spans="4:4">
      <c r="D51" s="40"/>
    </row>
    <row r="52" spans="4:4">
      <c r="D52" s="40"/>
    </row>
    <row r="53" spans="4:4">
      <c r="D53" s="40"/>
    </row>
    <row r="54" spans="4:4">
      <c r="D54" s="40"/>
    </row>
    <row r="55" spans="4:4">
      <c r="D55" s="40"/>
    </row>
    <row r="56" spans="4:4">
      <c r="D56" s="40"/>
    </row>
    <row r="57" spans="4:4">
      <c r="D57" s="40"/>
    </row>
    <row r="58" spans="4:4">
      <c r="D58" s="40"/>
    </row>
    <row r="59" spans="4:4">
      <c r="D59" s="40"/>
    </row>
  </sheetData>
  <phoneticPr fontId="1"/>
  <pageMargins left="0.7" right="0.7" top="0.75" bottom="0.75" header="0.3" footer="0.3"/>
  <pageSetup paperSize="9" orientation="portrait" horizontalDpi="4294967293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X34"/>
  <sheetViews>
    <sheetView view="pageBreakPreview" zoomScale="55" zoomScaleNormal="90" zoomScaleSheetLayoutView="55" workbookViewId="0">
      <selection activeCell="AC2" sqref="AC2:AD2"/>
    </sheetView>
  </sheetViews>
  <sheetFormatPr defaultRowHeight="13.5"/>
  <cols>
    <col min="1" max="1" width="3.375" style="121" bestFit="1" customWidth="1"/>
    <col min="2" max="7" width="10.375" style="121" hidden="1" customWidth="1"/>
    <col min="8" max="10" width="11.625" style="121" hidden="1" customWidth="1"/>
    <col min="11" max="13" width="10.375" style="121" hidden="1" customWidth="1"/>
    <col min="14" max="25" width="5.875" style="121" hidden="1" customWidth="1"/>
    <col min="26" max="26" width="3.625" style="121" hidden="1" customWidth="1"/>
    <col min="27" max="27" width="2.25" style="122" bestFit="1" customWidth="1"/>
    <col min="28" max="28" width="20.625" style="121" customWidth="1"/>
    <col min="29" max="29" width="2.25" style="122" bestFit="1" customWidth="1"/>
    <col min="30" max="30" width="20.625" style="121" customWidth="1"/>
    <col min="31" max="31" width="2.25" style="122" bestFit="1" customWidth="1"/>
    <col min="32" max="32" width="20.625" style="121" customWidth="1"/>
    <col min="33" max="33" width="2.25" style="122" bestFit="1" customWidth="1"/>
    <col min="34" max="34" width="20.625" style="121" customWidth="1"/>
    <col min="35" max="35" width="2.25" style="122" bestFit="1" customWidth="1"/>
    <col min="36" max="36" width="20.625" style="121" customWidth="1"/>
    <col min="37" max="37" width="2.25" style="122" bestFit="1" customWidth="1"/>
    <col min="38" max="38" width="20.625" style="121" customWidth="1"/>
    <col min="39" max="39" width="2.25" style="122" bestFit="1" customWidth="1"/>
    <col min="40" max="40" width="20.625" style="121" customWidth="1"/>
    <col min="41" max="41" width="2.25" style="122" bestFit="1" customWidth="1"/>
    <col min="42" max="42" width="20.625" style="121" customWidth="1"/>
    <col min="43" max="43" width="2.25" style="122" bestFit="1" customWidth="1"/>
    <col min="44" max="44" width="20.625" style="121" customWidth="1"/>
    <col min="45" max="45" width="2.25" style="122" bestFit="1" customWidth="1"/>
    <col min="46" max="46" width="20.625" style="121" customWidth="1"/>
    <col min="47" max="47" width="2.25" style="122" bestFit="1" customWidth="1"/>
    <col min="48" max="48" width="20.625" style="121" customWidth="1"/>
    <col min="49" max="49" width="2.25" style="122" bestFit="1" customWidth="1"/>
    <col min="50" max="50" width="20.625" style="121" customWidth="1"/>
    <col min="51" max="256" width="9" style="121"/>
    <col min="257" max="257" width="3.375" style="121" bestFit="1" customWidth="1"/>
    <col min="258" max="263" width="10.375" style="121" customWidth="1"/>
    <col min="264" max="266" width="11.625" style="121" customWidth="1"/>
    <col min="267" max="269" width="10.375" style="121" customWidth="1"/>
    <col min="270" max="281" width="5.875" style="121" customWidth="1"/>
    <col min="282" max="282" width="3.625" style="121" customWidth="1"/>
    <col min="283" max="283" width="2.25" style="121" bestFit="1" customWidth="1"/>
    <col min="284" max="284" width="20.625" style="121" customWidth="1"/>
    <col min="285" max="285" width="2.25" style="121" bestFit="1" customWidth="1"/>
    <col min="286" max="286" width="20.625" style="121" customWidth="1"/>
    <col min="287" max="287" width="2.25" style="121" bestFit="1" customWidth="1"/>
    <col min="288" max="288" width="20.625" style="121" customWidth="1"/>
    <col min="289" max="289" width="2.25" style="121" bestFit="1" customWidth="1"/>
    <col min="290" max="290" width="20.625" style="121" customWidth="1"/>
    <col min="291" max="291" width="2.25" style="121" bestFit="1" customWidth="1"/>
    <col min="292" max="292" width="20.625" style="121" customWidth="1"/>
    <col min="293" max="293" width="2.25" style="121" bestFit="1" customWidth="1"/>
    <col min="294" max="294" width="20.625" style="121" customWidth="1"/>
    <col min="295" max="295" width="2.25" style="121" bestFit="1" customWidth="1"/>
    <col min="296" max="296" width="20.625" style="121" customWidth="1"/>
    <col min="297" max="297" width="2.25" style="121" bestFit="1" customWidth="1"/>
    <col min="298" max="298" width="20.625" style="121" customWidth="1"/>
    <col min="299" max="299" width="2.25" style="121" bestFit="1" customWidth="1"/>
    <col min="300" max="300" width="20.625" style="121" customWidth="1"/>
    <col min="301" max="301" width="2.25" style="121" bestFit="1" customWidth="1"/>
    <col min="302" max="302" width="20.625" style="121" customWidth="1"/>
    <col min="303" max="303" width="2.25" style="121" bestFit="1" customWidth="1"/>
    <col min="304" max="304" width="20.625" style="121" customWidth="1"/>
    <col min="305" max="305" width="2.25" style="121" bestFit="1" customWidth="1"/>
    <col min="306" max="306" width="20.625" style="121" customWidth="1"/>
    <col min="307" max="512" width="9" style="121"/>
    <col min="513" max="513" width="3.375" style="121" bestFit="1" customWidth="1"/>
    <col min="514" max="519" width="10.375" style="121" customWidth="1"/>
    <col min="520" max="522" width="11.625" style="121" customWidth="1"/>
    <col min="523" max="525" width="10.375" style="121" customWidth="1"/>
    <col min="526" max="537" width="5.875" style="121" customWidth="1"/>
    <col min="538" max="538" width="3.625" style="121" customWidth="1"/>
    <col min="539" max="539" width="2.25" style="121" bestFit="1" customWidth="1"/>
    <col min="540" max="540" width="20.625" style="121" customWidth="1"/>
    <col min="541" max="541" width="2.25" style="121" bestFit="1" customWidth="1"/>
    <col min="542" max="542" width="20.625" style="121" customWidth="1"/>
    <col min="543" max="543" width="2.25" style="121" bestFit="1" customWidth="1"/>
    <col min="544" max="544" width="20.625" style="121" customWidth="1"/>
    <col min="545" max="545" width="2.25" style="121" bestFit="1" customWidth="1"/>
    <col min="546" max="546" width="20.625" style="121" customWidth="1"/>
    <col min="547" max="547" width="2.25" style="121" bestFit="1" customWidth="1"/>
    <col min="548" max="548" width="20.625" style="121" customWidth="1"/>
    <col min="549" max="549" width="2.25" style="121" bestFit="1" customWidth="1"/>
    <col min="550" max="550" width="20.625" style="121" customWidth="1"/>
    <col min="551" max="551" width="2.25" style="121" bestFit="1" customWidth="1"/>
    <col min="552" max="552" width="20.625" style="121" customWidth="1"/>
    <col min="553" max="553" width="2.25" style="121" bestFit="1" customWidth="1"/>
    <col min="554" max="554" width="20.625" style="121" customWidth="1"/>
    <col min="555" max="555" width="2.25" style="121" bestFit="1" customWidth="1"/>
    <col min="556" max="556" width="20.625" style="121" customWidth="1"/>
    <col min="557" max="557" width="2.25" style="121" bestFit="1" customWidth="1"/>
    <col min="558" max="558" width="20.625" style="121" customWidth="1"/>
    <col min="559" max="559" width="2.25" style="121" bestFit="1" customWidth="1"/>
    <col min="560" max="560" width="20.625" style="121" customWidth="1"/>
    <col min="561" max="561" width="2.25" style="121" bestFit="1" customWidth="1"/>
    <col min="562" max="562" width="20.625" style="121" customWidth="1"/>
    <col min="563" max="768" width="9" style="121"/>
    <col min="769" max="769" width="3.375" style="121" bestFit="1" customWidth="1"/>
    <col min="770" max="775" width="10.375" style="121" customWidth="1"/>
    <col min="776" max="778" width="11.625" style="121" customWidth="1"/>
    <col min="779" max="781" width="10.375" style="121" customWidth="1"/>
    <col min="782" max="793" width="5.875" style="121" customWidth="1"/>
    <col min="794" max="794" width="3.625" style="121" customWidth="1"/>
    <col min="795" max="795" width="2.25" style="121" bestFit="1" customWidth="1"/>
    <col min="796" max="796" width="20.625" style="121" customWidth="1"/>
    <col min="797" max="797" width="2.25" style="121" bestFit="1" customWidth="1"/>
    <col min="798" max="798" width="20.625" style="121" customWidth="1"/>
    <col min="799" max="799" width="2.25" style="121" bestFit="1" customWidth="1"/>
    <col min="800" max="800" width="20.625" style="121" customWidth="1"/>
    <col min="801" max="801" width="2.25" style="121" bestFit="1" customWidth="1"/>
    <col min="802" max="802" width="20.625" style="121" customWidth="1"/>
    <col min="803" max="803" width="2.25" style="121" bestFit="1" customWidth="1"/>
    <col min="804" max="804" width="20.625" style="121" customWidth="1"/>
    <col min="805" max="805" width="2.25" style="121" bestFit="1" customWidth="1"/>
    <col min="806" max="806" width="20.625" style="121" customWidth="1"/>
    <col min="807" max="807" width="2.25" style="121" bestFit="1" customWidth="1"/>
    <col min="808" max="808" width="20.625" style="121" customWidth="1"/>
    <col min="809" max="809" width="2.25" style="121" bestFit="1" customWidth="1"/>
    <col min="810" max="810" width="20.625" style="121" customWidth="1"/>
    <col min="811" max="811" width="2.25" style="121" bestFit="1" customWidth="1"/>
    <col min="812" max="812" width="20.625" style="121" customWidth="1"/>
    <col min="813" max="813" width="2.25" style="121" bestFit="1" customWidth="1"/>
    <col min="814" max="814" width="20.625" style="121" customWidth="1"/>
    <col min="815" max="815" width="2.25" style="121" bestFit="1" customWidth="1"/>
    <col min="816" max="816" width="20.625" style="121" customWidth="1"/>
    <col min="817" max="817" width="2.25" style="121" bestFit="1" customWidth="1"/>
    <col min="818" max="818" width="20.625" style="121" customWidth="1"/>
    <col min="819" max="1024" width="9" style="121"/>
    <col min="1025" max="1025" width="3.375" style="121" bestFit="1" customWidth="1"/>
    <col min="1026" max="1031" width="10.375" style="121" customWidth="1"/>
    <col min="1032" max="1034" width="11.625" style="121" customWidth="1"/>
    <col min="1035" max="1037" width="10.375" style="121" customWidth="1"/>
    <col min="1038" max="1049" width="5.875" style="121" customWidth="1"/>
    <col min="1050" max="1050" width="3.625" style="121" customWidth="1"/>
    <col min="1051" max="1051" width="2.25" style="121" bestFit="1" customWidth="1"/>
    <col min="1052" max="1052" width="20.625" style="121" customWidth="1"/>
    <col min="1053" max="1053" width="2.25" style="121" bestFit="1" customWidth="1"/>
    <col min="1054" max="1054" width="20.625" style="121" customWidth="1"/>
    <col min="1055" max="1055" width="2.25" style="121" bestFit="1" customWidth="1"/>
    <col min="1056" max="1056" width="20.625" style="121" customWidth="1"/>
    <col min="1057" max="1057" width="2.25" style="121" bestFit="1" customWidth="1"/>
    <col min="1058" max="1058" width="20.625" style="121" customWidth="1"/>
    <col min="1059" max="1059" width="2.25" style="121" bestFit="1" customWidth="1"/>
    <col min="1060" max="1060" width="20.625" style="121" customWidth="1"/>
    <col min="1061" max="1061" width="2.25" style="121" bestFit="1" customWidth="1"/>
    <col min="1062" max="1062" width="20.625" style="121" customWidth="1"/>
    <col min="1063" max="1063" width="2.25" style="121" bestFit="1" customWidth="1"/>
    <col min="1064" max="1064" width="20.625" style="121" customWidth="1"/>
    <col min="1065" max="1065" width="2.25" style="121" bestFit="1" customWidth="1"/>
    <col min="1066" max="1066" width="20.625" style="121" customWidth="1"/>
    <col min="1067" max="1067" width="2.25" style="121" bestFit="1" customWidth="1"/>
    <col min="1068" max="1068" width="20.625" style="121" customWidth="1"/>
    <col min="1069" max="1069" width="2.25" style="121" bestFit="1" customWidth="1"/>
    <col min="1070" max="1070" width="20.625" style="121" customWidth="1"/>
    <col min="1071" max="1071" width="2.25" style="121" bestFit="1" customWidth="1"/>
    <col min="1072" max="1072" width="20.625" style="121" customWidth="1"/>
    <col min="1073" max="1073" width="2.25" style="121" bestFit="1" customWidth="1"/>
    <col min="1074" max="1074" width="20.625" style="121" customWidth="1"/>
    <col min="1075" max="1280" width="9" style="121"/>
    <col min="1281" max="1281" width="3.375" style="121" bestFit="1" customWidth="1"/>
    <col min="1282" max="1287" width="10.375" style="121" customWidth="1"/>
    <col min="1288" max="1290" width="11.625" style="121" customWidth="1"/>
    <col min="1291" max="1293" width="10.375" style="121" customWidth="1"/>
    <col min="1294" max="1305" width="5.875" style="121" customWidth="1"/>
    <col min="1306" max="1306" width="3.625" style="121" customWidth="1"/>
    <col min="1307" max="1307" width="2.25" style="121" bestFit="1" customWidth="1"/>
    <col min="1308" max="1308" width="20.625" style="121" customWidth="1"/>
    <col min="1309" max="1309" width="2.25" style="121" bestFit="1" customWidth="1"/>
    <col min="1310" max="1310" width="20.625" style="121" customWidth="1"/>
    <col min="1311" max="1311" width="2.25" style="121" bestFit="1" customWidth="1"/>
    <col min="1312" max="1312" width="20.625" style="121" customWidth="1"/>
    <col min="1313" max="1313" width="2.25" style="121" bestFit="1" customWidth="1"/>
    <col min="1314" max="1314" width="20.625" style="121" customWidth="1"/>
    <col min="1315" max="1315" width="2.25" style="121" bestFit="1" customWidth="1"/>
    <col min="1316" max="1316" width="20.625" style="121" customWidth="1"/>
    <col min="1317" max="1317" width="2.25" style="121" bestFit="1" customWidth="1"/>
    <col min="1318" max="1318" width="20.625" style="121" customWidth="1"/>
    <col min="1319" max="1319" width="2.25" style="121" bestFit="1" customWidth="1"/>
    <col min="1320" max="1320" width="20.625" style="121" customWidth="1"/>
    <col min="1321" max="1321" width="2.25" style="121" bestFit="1" customWidth="1"/>
    <col min="1322" max="1322" width="20.625" style="121" customWidth="1"/>
    <col min="1323" max="1323" width="2.25" style="121" bestFit="1" customWidth="1"/>
    <col min="1324" max="1324" width="20.625" style="121" customWidth="1"/>
    <col min="1325" max="1325" width="2.25" style="121" bestFit="1" customWidth="1"/>
    <col min="1326" max="1326" width="20.625" style="121" customWidth="1"/>
    <col min="1327" max="1327" width="2.25" style="121" bestFit="1" customWidth="1"/>
    <col min="1328" max="1328" width="20.625" style="121" customWidth="1"/>
    <col min="1329" max="1329" width="2.25" style="121" bestFit="1" customWidth="1"/>
    <col min="1330" max="1330" width="20.625" style="121" customWidth="1"/>
    <col min="1331" max="1536" width="9" style="121"/>
    <col min="1537" max="1537" width="3.375" style="121" bestFit="1" customWidth="1"/>
    <col min="1538" max="1543" width="10.375" style="121" customWidth="1"/>
    <col min="1544" max="1546" width="11.625" style="121" customWidth="1"/>
    <col min="1547" max="1549" width="10.375" style="121" customWidth="1"/>
    <col min="1550" max="1561" width="5.875" style="121" customWidth="1"/>
    <col min="1562" max="1562" width="3.625" style="121" customWidth="1"/>
    <col min="1563" max="1563" width="2.25" style="121" bestFit="1" customWidth="1"/>
    <col min="1564" max="1564" width="20.625" style="121" customWidth="1"/>
    <col min="1565" max="1565" width="2.25" style="121" bestFit="1" customWidth="1"/>
    <col min="1566" max="1566" width="20.625" style="121" customWidth="1"/>
    <col min="1567" max="1567" width="2.25" style="121" bestFit="1" customWidth="1"/>
    <col min="1568" max="1568" width="20.625" style="121" customWidth="1"/>
    <col min="1569" max="1569" width="2.25" style="121" bestFit="1" customWidth="1"/>
    <col min="1570" max="1570" width="20.625" style="121" customWidth="1"/>
    <col min="1571" max="1571" width="2.25" style="121" bestFit="1" customWidth="1"/>
    <col min="1572" max="1572" width="20.625" style="121" customWidth="1"/>
    <col min="1573" max="1573" width="2.25" style="121" bestFit="1" customWidth="1"/>
    <col min="1574" max="1574" width="20.625" style="121" customWidth="1"/>
    <col min="1575" max="1575" width="2.25" style="121" bestFit="1" customWidth="1"/>
    <col min="1576" max="1576" width="20.625" style="121" customWidth="1"/>
    <col min="1577" max="1577" width="2.25" style="121" bestFit="1" customWidth="1"/>
    <col min="1578" max="1578" width="20.625" style="121" customWidth="1"/>
    <col min="1579" max="1579" width="2.25" style="121" bestFit="1" customWidth="1"/>
    <col min="1580" max="1580" width="20.625" style="121" customWidth="1"/>
    <col min="1581" max="1581" width="2.25" style="121" bestFit="1" customWidth="1"/>
    <col min="1582" max="1582" width="20.625" style="121" customWidth="1"/>
    <col min="1583" max="1583" width="2.25" style="121" bestFit="1" customWidth="1"/>
    <col min="1584" max="1584" width="20.625" style="121" customWidth="1"/>
    <col min="1585" max="1585" width="2.25" style="121" bestFit="1" customWidth="1"/>
    <col min="1586" max="1586" width="20.625" style="121" customWidth="1"/>
    <col min="1587" max="1792" width="9" style="121"/>
    <col min="1793" max="1793" width="3.375" style="121" bestFit="1" customWidth="1"/>
    <col min="1794" max="1799" width="10.375" style="121" customWidth="1"/>
    <col min="1800" max="1802" width="11.625" style="121" customWidth="1"/>
    <col min="1803" max="1805" width="10.375" style="121" customWidth="1"/>
    <col min="1806" max="1817" width="5.875" style="121" customWidth="1"/>
    <col min="1818" max="1818" width="3.625" style="121" customWidth="1"/>
    <col min="1819" max="1819" width="2.25" style="121" bestFit="1" customWidth="1"/>
    <col min="1820" max="1820" width="20.625" style="121" customWidth="1"/>
    <col min="1821" max="1821" width="2.25" style="121" bestFit="1" customWidth="1"/>
    <col min="1822" max="1822" width="20.625" style="121" customWidth="1"/>
    <col min="1823" max="1823" width="2.25" style="121" bestFit="1" customWidth="1"/>
    <col min="1824" max="1824" width="20.625" style="121" customWidth="1"/>
    <col min="1825" max="1825" width="2.25" style="121" bestFit="1" customWidth="1"/>
    <col min="1826" max="1826" width="20.625" style="121" customWidth="1"/>
    <col min="1827" max="1827" width="2.25" style="121" bestFit="1" customWidth="1"/>
    <col min="1828" max="1828" width="20.625" style="121" customWidth="1"/>
    <col min="1829" max="1829" width="2.25" style="121" bestFit="1" customWidth="1"/>
    <col min="1830" max="1830" width="20.625" style="121" customWidth="1"/>
    <col min="1831" max="1831" width="2.25" style="121" bestFit="1" customWidth="1"/>
    <col min="1832" max="1832" width="20.625" style="121" customWidth="1"/>
    <col min="1833" max="1833" width="2.25" style="121" bestFit="1" customWidth="1"/>
    <col min="1834" max="1834" width="20.625" style="121" customWidth="1"/>
    <col min="1835" max="1835" width="2.25" style="121" bestFit="1" customWidth="1"/>
    <col min="1836" max="1836" width="20.625" style="121" customWidth="1"/>
    <col min="1837" max="1837" width="2.25" style="121" bestFit="1" customWidth="1"/>
    <col min="1838" max="1838" width="20.625" style="121" customWidth="1"/>
    <col min="1839" max="1839" width="2.25" style="121" bestFit="1" customWidth="1"/>
    <col min="1840" max="1840" width="20.625" style="121" customWidth="1"/>
    <col min="1841" max="1841" width="2.25" style="121" bestFit="1" customWidth="1"/>
    <col min="1842" max="1842" width="20.625" style="121" customWidth="1"/>
    <col min="1843" max="2048" width="9" style="121"/>
    <col min="2049" max="2049" width="3.375" style="121" bestFit="1" customWidth="1"/>
    <col min="2050" max="2055" width="10.375" style="121" customWidth="1"/>
    <col min="2056" max="2058" width="11.625" style="121" customWidth="1"/>
    <col min="2059" max="2061" width="10.375" style="121" customWidth="1"/>
    <col min="2062" max="2073" width="5.875" style="121" customWidth="1"/>
    <col min="2074" max="2074" width="3.625" style="121" customWidth="1"/>
    <col min="2075" max="2075" width="2.25" style="121" bestFit="1" customWidth="1"/>
    <col min="2076" max="2076" width="20.625" style="121" customWidth="1"/>
    <col min="2077" max="2077" width="2.25" style="121" bestFit="1" customWidth="1"/>
    <col min="2078" max="2078" width="20.625" style="121" customWidth="1"/>
    <col min="2079" max="2079" width="2.25" style="121" bestFit="1" customWidth="1"/>
    <col min="2080" max="2080" width="20.625" style="121" customWidth="1"/>
    <col min="2081" max="2081" width="2.25" style="121" bestFit="1" customWidth="1"/>
    <col min="2082" max="2082" width="20.625" style="121" customWidth="1"/>
    <col min="2083" max="2083" width="2.25" style="121" bestFit="1" customWidth="1"/>
    <col min="2084" max="2084" width="20.625" style="121" customWidth="1"/>
    <col min="2085" max="2085" width="2.25" style="121" bestFit="1" customWidth="1"/>
    <col min="2086" max="2086" width="20.625" style="121" customWidth="1"/>
    <col min="2087" max="2087" width="2.25" style="121" bestFit="1" customWidth="1"/>
    <col min="2088" max="2088" width="20.625" style="121" customWidth="1"/>
    <col min="2089" max="2089" width="2.25" style="121" bestFit="1" customWidth="1"/>
    <col min="2090" max="2090" width="20.625" style="121" customWidth="1"/>
    <col min="2091" max="2091" width="2.25" style="121" bestFit="1" customWidth="1"/>
    <col min="2092" max="2092" width="20.625" style="121" customWidth="1"/>
    <col min="2093" max="2093" width="2.25" style="121" bestFit="1" customWidth="1"/>
    <col min="2094" max="2094" width="20.625" style="121" customWidth="1"/>
    <col min="2095" max="2095" width="2.25" style="121" bestFit="1" customWidth="1"/>
    <col min="2096" max="2096" width="20.625" style="121" customWidth="1"/>
    <col min="2097" max="2097" width="2.25" style="121" bestFit="1" customWidth="1"/>
    <col min="2098" max="2098" width="20.625" style="121" customWidth="1"/>
    <col min="2099" max="2304" width="9" style="121"/>
    <col min="2305" max="2305" width="3.375" style="121" bestFit="1" customWidth="1"/>
    <col min="2306" max="2311" width="10.375" style="121" customWidth="1"/>
    <col min="2312" max="2314" width="11.625" style="121" customWidth="1"/>
    <col min="2315" max="2317" width="10.375" style="121" customWidth="1"/>
    <col min="2318" max="2329" width="5.875" style="121" customWidth="1"/>
    <col min="2330" max="2330" width="3.625" style="121" customWidth="1"/>
    <col min="2331" max="2331" width="2.25" style="121" bestFit="1" customWidth="1"/>
    <col min="2332" max="2332" width="20.625" style="121" customWidth="1"/>
    <col min="2333" max="2333" width="2.25" style="121" bestFit="1" customWidth="1"/>
    <col min="2334" max="2334" width="20.625" style="121" customWidth="1"/>
    <col min="2335" max="2335" width="2.25" style="121" bestFit="1" customWidth="1"/>
    <col min="2336" max="2336" width="20.625" style="121" customWidth="1"/>
    <col min="2337" max="2337" width="2.25" style="121" bestFit="1" customWidth="1"/>
    <col min="2338" max="2338" width="20.625" style="121" customWidth="1"/>
    <col min="2339" max="2339" width="2.25" style="121" bestFit="1" customWidth="1"/>
    <col min="2340" max="2340" width="20.625" style="121" customWidth="1"/>
    <col min="2341" max="2341" width="2.25" style="121" bestFit="1" customWidth="1"/>
    <col min="2342" max="2342" width="20.625" style="121" customWidth="1"/>
    <col min="2343" max="2343" width="2.25" style="121" bestFit="1" customWidth="1"/>
    <col min="2344" max="2344" width="20.625" style="121" customWidth="1"/>
    <col min="2345" max="2345" width="2.25" style="121" bestFit="1" customWidth="1"/>
    <col min="2346" max="2346" width="20.625" style="121" customWidth="1"/>
    <col min="2347" max="2347" width="2.25" style="121" bestFit="1" customWidth="1"/>
    <col min="2348" max="2348" width="20.625" style="121" customWidth="1"/>
    <col min="2349" max="2349" width="2.25" style="121" bestFit="1" customWidth="1"/>
    <col min="2350" max="2350" width="20.625" style="121" customWidth="1"/>
    <col min="2351" max="2351" width="2.25" style="121" bestFit="1" customWidth="1"/>
    <col min="2352" max="2352" width="20.625" style="121" customWidth="1"/>
    <col min="2353" max="2353" width="2.25" style="121" bestFit="1" customWidth="1"/>
    <col min="2354" max="2354" width="20.625" style="121" customWidth="1"/>
    <col min="2355" max="2560" width="9" style="121"/>
    <col min="2561" max="2561" width="3.375" style="121" bestFit="1" customWidth="1"/>
    <col min="2562" max="2567" width="10.375" style="121" customWidth="1"/>
    <col min="2568" max="2570" width="11.625" style="121" customWidth="1"/>
    <col min="2571" max="2573" width="10.375" style="121" customWidth="1"/>
    <col min="2574" max="2585" width="5.875" style="121" customWidth="1"/>
    <col min="2586" max="2586" width="3.625" style="121" customWidth="1"/>
    <col min="2587" max="2587" width="2.25" style="121" bestFit="1" customWidth="1"/>
    <col min="2588" max="2588" width="20.625" style="121" customWidth="1"/>
    <col min="2589" max="2589" width="2.25" style="121" bestFit="1" customWidth="1"/>
    <col min="2590" max="2590" width="20.625" style="121" customWidth="1"/>
    <col min="2591" max="2591" width="2.25" style="121" bestFit="1" customWidth="1"/>
    <col min="2592" max="2592" width="20.625" style="121" customWidth="1"/>
    <col min="2593" max="2593" width="2.25" style="121" bestFit="1" customWidth="1"/>
    <col min="2594" max="2594" width="20.625" style="121" customWidth="1"/>
    <col min="2595" max="2595" width="2.25" style="121" bestFit="1" customWidth="1"/>
    <col min="2596" max="2596" width="20.625" style="121" customWidth="1"/>
    <col min="2597" max="2597" width="2.25" style="121" bestFit="1" customWidth="1"/>
    <col min="2598" max="2598" width="20.625" style="121" customWidth="1"/>
    <col min="2599" max="2599" width="2.25" style="121" bestFit="1" customWidth="1"/>
    <col min="2600" max="2600" width="20.625" style="121" customWidth="1"/>
    <col min="2601" max="2601" width="2.25" style="121" bestFit="1" customWidth="1"/>
    <col min="2602" max="2602" width="20.625" style="121" customWidth="1"/>
    <col min="2603" max="2603" width="2.25" style="121" bestFit="1" customWidth="1"/>
    <col min="2604" max="2604" width="20.625" style="121" customWidth="1"/>
    <col min="2605" max="2605" width="2.25" style="121" bestFit="1" customWidth="1"/>
    <col min="2606" max="2606" width="20.625" style="121" customWidth="1"/>
    <col min="2607" max="2607" width="2.25" style="121" bestFit="1" customWidth="1"/>
    <col min="2608" max="2608" width="20.625" style="121" customWidth="1"/>
    <col min="2609" max="2609" width="2.25" style="121" bestFit="1" customWidth="1"/>
    <col min="2610" max="2610" width="20.625" style="121" customWidth="1"/>
    <col min="2611" max="2816" width="9" style="121"/>
    <col min="2817" max="2817" width="3.375" style="121" bestFit="1" customWidth="1"/>
    <col min="2818" max="2823" width="10.375" style="121" customWidth="1"/>
    <col min="2824" max="2826" width="11.625" style="121" customWidth="1"/>
    <col min="2827" max="2829" width="10.375" style="121" customWidth="1"/>
    <col min="2830" max="2841" width="5.875" style="121" customWidth="1"/>
    <col min="2842" max="2842" width="3.625" style="121" customWidth="1"/>
    <col min="2843" max="2843" width="2.25" style="121" bestFit="1" customWidth="1"/>
    <col min="2844" max="2844" width="20.625" style="121" customWidth="1"/>
    <col min="2845" max="2845" width="2.25" style="121" bestFit="1" customWidth="1"/>
    <col min="2846" max="2846" width="20.625" style="121" customWidth="1"/>
    <col min="2847" max="2847" width="2.25" style="121" bestFit="1" customWidth="1"/>
    <col min="2848" max="2848" width="20.625" style="121" customWidth="1"/>
    <col min="2849" max="2849" width="2.25" style="121" bestFit="1" customWidth="1"/>
    <col min="2850" max="2850" width="20.625" style="121" customWidth="1"/>
    <col min="2851" max="2851" width="2.25" style="121" bestFit="1" customWidth="1"/>
    <col min="2852" max="2852" width="20.625" style="121" customWidth="1"/>
    <col min="2853" max="2853" width="2.25" style="121" bestFit="1" customWidth="1"/>
    <col min="2854" max="2854" width="20.625" style="121" customWidth="1"/>
    <col min="2855" max="2855" width="2.25" style="121" bestFit="1" customWidth="1"/>
    <col min="2856" max="2856" width="20.625" style="121" customWidth="1"/>
    <col min="2857" max="2857" width="2.25" style="121" bestFit="1" customWidth="1"/>
    <col min="2858" max="2858" width="20.625" style="121" customWidth="1"/>
    <col min="2859" max="2859" width="2.25" style="121" bestFit="1" customWidth="1"/>
    <col min="2860" max="2860" width="20.625" style="121" customWidth="1"/>
    <col min="2861" max="2861" width="2.25" style="121" bestFit="1" customWidth="1"/>
    <col min="2862" max="2862" width="20.625" style="121" customWidth="1"/>
    <col min="2863" max="2863" width="2.25" style="121" bestFit="1" customWidth="1"/>
    <col min="2864" max="2864" width="20.625" style="121" customWidth="1"/>
    <col min="2865" max="2865" width="2.25" style="121" bestFit="1" customWidth="1"/>
    <col min="2866" max="2866" width="20.625" style="121" customWidth="1"/>
    <col min="2867" max="3072" width="9" style="121"/>
    <col min="3073" max="3073" width="3.375" style="121" bestFit="1" customWidth="1"/>
    <col min="3074" max="3079" width="10.375" style="121" customWidth="1"/>
    <col min="3080" max="3082" width="11.625" style="121" customWidth="1"/>
    <col min="3083" max="3085" width="10.375" style="121" customWidth="1"/>
    <col min="3086" max="3097" width="5.875" style="121" customWidth="1"/>
    <col min="3098" max="3098" width="3.625" style="121" customWidth="1"/>
    <col min="3099" max="3099" width="2.25" style="121" bestFit="1" customWidth="1"/>
    <col min="3100" max="3100" width="20.625" style="121" customWidth="1"/>
    <col min="3101" max="3101" width="2.25" style="121" bestFit="1" customWidth="1"/>
    <col min="3102" max="3102" width="20.625" style="121" customWidth="1"/>
    <col min="3103" max="3103" width="2.25" style="121" bestFit="1" customWidth="1"/>
    <col min="3104" max="3104" width="20.625" style="121" customWidth="1"/>
    <col min="3105" max="3105" width="2.25" style="121" bestFit="1" customWidth="1"/>
    <col min="3106" max="3106" width="20.625" style="121" customWidth="1"/>
    <col min="3107" max="3107" width="2.25" style="121" bestFit="1" customWidth="1"/>
    <col min="3108" max="3108" width="20.625" style="121" customWidth="1"/>
    <col min="3109" max="3109" width="2.25" style="121" bestFit="1" customWidth="1"/>
    <col min="3110" max="3110" width="20.625" style="121" customWidth="1"/>
    <col min="3111" max="3111" width="2.25" style="121" bestFit="1" customWidth="1"/>
    <col min="3112" max="3112" width="20.625" style="121" customWidth="1"/>
    <col min="3113" max="3113" width="2.25" style="121" bestFit="1" customWidth="1"/>
    <col min="3114" max="3114" width="20.625" style="121" customWidth="1"/>
    <col min="3115" max="3115" width="2.25" style="121" bestFit="1" customWidth="1"/>
    <col min="3116" max="3116" width="20.625" style="121" customWidth="1"/>
    <col min="3117" max="3117" width="2.25" style="121" bestFit="1" customWidth="1"/>
    <col min="3118" max="3118" width="20.625" style="121" customWidth="1"/>
    <col min="3119" max="3119" width="2.25" style="121" bestFit="1" customWidth="1"/>
    <col min="3120" max="3120" width="20.625" style="121" customWidth="1"/>
    <col min="3121" max="3121" width="2.25" style="121" bestFit="1" customWidth="1"/>
    <col min="3122" max="3122" width="20.625" style="121" customWidth="1"/>
    <col min="3123" max="3328" width="9" style="121"/>
    <col min="3329" max="3329" width="3.375" style="121" bestFit="1" customWidth="1"/>
    <col min="3330" max="3335" width="10.375" style="121" customWidth="1"/>
    <col min="3336" max="3338" width="11.625" style="121" customWidth="1"/>
    <col min="3339" max="3341" width="10.375" style="121" customWidth="1"/>
    <col min="3342" max="3353" width="5.875" style="121" customWidth="1"/>
    <col min="3354" max="3354" width="3.625" style="121" customWidth="1"/>
    <col min="3355" max="3355" width="2.25" style="121" bestFit="1" customWidth="1"/>
    <col min="3356" max="3356" width="20.625" style="121" customWidth="1"/>
    <col min="3357" max="3357" width="2.25" style="121" bestFit="1" customWidth="1"/>
    <col min="3358" max="3358" width="20.625" style="121" customWidth="1"/>
    <col min="3359" max="3359" width="2.25" style="121" bestFit="1" customWidth="1"/>
    <col min="3360" max="3360" width="20.625" style="121" customWidth="1"/>
    <col min="3361" max="3361" width="2.25" style="121" bestFit="1" customWidth="1"/>
    <col min="3362" max="3362" width="20.625" style="121" customWidth="1"/>
    <col min="3363" max="3363" width="2.25" style="121" bestFit="1" customWidth="1"/>
    <col min="3364" max="3364" width="20.625" style="121" customWidth="1"/>
    <col min="3365" max="3365" width="2.25" style="121" bestFit="1" customWidth="1"/>
    <col min="3366" max="3366" width="20.625" style="121" customWidth="1"/>
    <col min="3367" max="3367" width="2.25" style="121" bestFit="1" customWidth="1"/>
    <col min="3368" max="3368" width="20.625" style="121" customWidth="1"/>
    <col min="3369" max="3369" width="2.25" style="121" bestFit="1" customWidth="1"/>
    <col min="3370" max="3370" width="20.625" style="121" customWidth="1"/>
    <col min="3371" max="3371" width="2.25" style="121" bestFit="1" customWidth="1"/>
    <col min="3372" max="3372" width="20.625" style="121" customWidth="1"/>
    <col min="3373" max="3373" width="2.25" style="121" bestFit="1" customWidth="1"/>
    <col min="3374" max="3374" width="20.625" style="121" customWidth="1"/>
    <col min="3375" max="3375" width="2.25" style="121" bestFit="1" customWidth="1"/>
    <col min="3376" max="3376" width="20.625" style="121" customWidth="1"/>
    <col min="3377" max="3377" width="2.25" style="121" bestFit="1" customWidth="1"/>
    <col min="3378" max="3378" width="20.625" style="121" customWidth="1"/>
    <col min="3379" max="3584" width="9" style="121"/>
    <col min="3585" max="3585" width="3.375" style="121" bestFit="1" customWidth="1"/>
    <col min="3586" max="3591" width="10.375" style="121" customWidth="1"/>
    <col min="3592" max="3594" width="11.625" style="121" customWidth="1"/>
    <col min="3595" max="3597" width="10.375" style="121" customWidth="1"/>
    <col min="3598" max="3609" width="5.875" style="121" customWidth="1"/>
    <col min="3610" max="3610" width="3.625" style="121" customWidth="1"/>
    <col min="3611" max="3611" width="2.25" style="121" bestFit="1" customWidth="1"/>
    <col min="3612" max="3612" width="20.625" style="121" customWidth="1"/>
    <col min="3613" max="3613" width="2.25" style="121" bestFit="1" customWidth="1"/>
    <col min="3614" max="3614" width="20.625" style="121" customWidth="1"/>
    <col min="3615" max="3615" width="2.25" style="121" bestFit="1" customWidth="1"/>
    <col min="3616" max="3616" width="20.625" style="121" customWidth="1"/>
    <col min="3617" max="3617" width="2.25" style="121" bestFit="1" customWidth="1"/>
    <col min="3618" max="3618" width="20.625" style="121" customWidth="1"/>
    <col min="3619" max="3619" width="2.25" style="121" bestFit="1" customWidth="1"/>
    <col min="3620" max="3620" width="20.625" style="121" customWidth="1"/>
    <col min="3621" max="3621" width="2.25" style="121" bestFit="1" customWidth="1"/>
    <col min="3622" max="3622" width="20.625" style="121" customWidth="1"/>
    <col min="3623" max="3623" width="2.25" style="121" bestFit="1" customWidth="1"/>
    <col min="3624" max="3624" width="20.625" style="121" customWidth="1"/>
    <col min="3625" max="3625" width="2.25" style="121" bestFit="1" customWidth="1"/>
    <col min="3626" max="3626" width="20.625" style="121" customWidth="1"/>
    <col min="3627" max="3627" width="2.25" style="121" bestFit="1" customWidth="1"/>
    <col min="3628" max="3628" width="20.625" style="121" customWidth="1"/>
    <col min="3629" max="3629" width="2.25" style="121" bestFit="1" customWidth="1"/>
    <col min="3630" max="3630" width="20.625" style="121" customWidth="1"/>
    <col min="3631" max="3631" width="2.25" style="121" bestFit="1" customWidth="1"/>
    <col min="3632" max="3632" width="20.625" style="121" customWidth="1"/>
    <col min="3633" max="3633" width="2.25" style="121" bestFit="1" customWidth="1"/>
    <col min="3634" max="3634" width="20.625" style="121" customWidth="1"/>
    <col min="3635" max="3840" width="9" style="121"/>
    <col min="3841" max="3841" width="3.375" style="121" bestFit="1" customWidth="1"/>
    <col min="3842" max="3847" width="10.375" style="121" customWidth="1"/>
    <col min="3848" max="3850" width="11.625" style="121" customWidth="1"/>
    <col min="3851" max="3853" width="10.375" style="121" customWidth="1"/>
    <col min="3854" max="3865" width="5.875" style="121" customWidth="1"/>
    <col min="3866" max="3866" width="3.625" style="121" customWidth="1"/>
    <col min="3867" max="3867" width="2.25" style="121" bestFit="1" customWidth="1"/>
    <col min="3868" max="3868" width="20.625" style="121" customWidth="1"/>
    <col min="3869" max="3869" width="2.25" style="121" bestFit="1" customWidth="1"/>
    <col min="3870" max="3870" width="20.625" style="121" customWidth="1"/>
    <col min="3871" max="3871" width="2.25" style="121" bestFit="1" customWidth="1"/>
    <col min="3872" max="3872" width="20.625" style="121" customWidth="1"/>
    <col min="3873" max="3873" width="2.25" style="121" bestFit="1" customWidth="1"/>
    <col min="3874" max="3874" width="20.625" style="121" customWidth="1"/>
    <col min="3875" max="3875" width="2.25" style="121" bestFit="1" customWidth="1"/>
    <col min="3876" max="3876" width="20.625" style="121" customWidth="1"/>
    <col min="3877" max="3877" width="2.25" style="121" bestFit="1" customWidth="1"/>
    <col min="3878" max="3878" width="20.625" style="121" customWidth="1"/>
    <col min="3879" max="3879" width="2.25" style="121" bestFit="1" customWidth="1"/>
    <col min="3880" max="3880" width="20.625" style="121" customWidth="1"/>
    <col min="3881" max="3881" width="2.25" style="121" bestFit="1" customWidth="1"/>
    <col min="3882" max="3882" width="20.625" style="121" customWidth="1"/>
    <col min="3883" max="3883" width="2.25" style="121" bestFit="1" customWidth="1"/>
    <col min="3884" max="3884" width="20.625" style="121" customWidth="1"/>
    <col min="3885" max="3885" width="2.25" style="121" bestFit="1" customWidth="1"/>
    <col min="3886" max="3886" width="20.625" style="121" customWidth="1"/>
    <col min="3887" max="3887" width="2.25" style="121" bestFit="1" customWidth="1"/>
    <col min="3888" max="3888" width="20.625" style="121" customWidth="1"/>
    <col min="3889" max="3889" width="2.25" style="121" bestFit="1" customWidth="1"/>
    <col min="3890" max="3890" width="20.625" style="121" customWidth="1"/>
    <col min="3891" max="4096" width="9" style="121"/>
    <col min="4097" max="4097" width="3.375" style="121" bestFit="1" customWidth="1"/>
    <col min="4098" max="4103" width="10.375" style="121" customWidth="1"/>
    <col min="4104" max="4106" width="11.625" style="121" customWidth="1"/>
    <col min="4107" max="4109" width="10.375" style="121" customWidth="1"/>
    <col min="4110" max="4121" width="5.875" style="121" customWidth="1"/>
    <col min="4122" max="4122" width="3.625" style="121" customWidth="1"/>
    <col min="4123" max="4123" width="2.25" style="121" bestFit="1" customWidth="1"/>
    <col min="4124" max="4124" width="20.625" style="121" customWidth="1"/>
    <col min="4125" max="4125" width="2.25" style="121" bestFit="1" customWidth="1"/>
    <col min="4126" max="4126" width="20.625" style="121" customWidth="1"/>
    <col min="4127" max="4127" width="2.25" style="121" bestFit="1" customWidth="1"/>
    <col min="4128" max="4128" width="20.625" style="121" customWidth="1"/>
    <col min="4129" max="4129" width="2.25" style="121" bestFit="1" customWidth="1"/>
    <col min="4130" max="4130" width="20.625" style="121" customWidth="1"/>
    <col min="4131" max="4131" width="2.25" style="121" bestFit="1" customWidth="1"/>
    <col min="4132" max="4132" width="20.625" style="121" customWidth="1"/>
    <col min="4133" max="4133" width="2.25" style="121" bestFit="1" customWidth="1"/>
    <col min="4134" max="4134" width="20.625" style="121" customWidth="1"/>
    <col min="4135" max="4135" width="2.25" style="121" bestFit="1" customWidth="1"/>
    <col min="4136" max="4136" width="20.625" style="121" customWidth="1"/>
    <col min="4137" max="4137" width="2.25" style="121" bestFit="1" customWidth="1"/>
    <col min="4138" max="4138" width="20.625" style="121" customWidth="1"/>
    <col min="4139" max="4139" width="2.25" style="121" bestFit="1" customWidth="1"/>
    <col min="4140" max="4140" width="20.625" style="121" customWidth="1"/>
    <col min="4141" max="4141" width="2.25" style="121" bestFit="1" customWidth="1"/>
    <col min="4142" max="4142" width="20.625" style="121" customWidth="1"/>
    <col min="4143" max="4143" width="2.25" style="121" bestFit="1" customWidth="1"/>
    <col min="4144" max="4144" width="20.625" style="121" customWidth="1"/>
    <col min="4145" max="4145" width="2.25" style="121" bestFit="1" customWidth="1"/>
    <col min="4146" max="4146" width="20.625" style="121" customWidth="1"/>
    <col min="4147" max="4352" width="9" style="121"/>
    <col min="4353" max="4353" width="3.375" style="121" bestFit="1" customWidth="1"/>
    <col min="4354" max="4359" width="10.375" style="121" customWidth="1"/>
    <col min="4360" max="4362" width="11.625" style="121" customWidth="1"/>
    <col min="4363" max="4365" width="10.375" style="121" customWidth="1"/>
    <col min="4366" max="4377" width="5.875" style="121" customWidth="1"/>
    <col min="4378" max="4378" width="3.625" style="121" customWidth="1"/>
    <col min="4379" max="4379" width="2.25" style="121" bestFit="1" customWidth="1"/>
    <col min="4380" max="4380" width="20.625" style="121" customWidth="1"/>
    <col min="4381" max="4381" width="2.25" style="121" bestFit="1" customWidth="1"/>
    <col min="4382" max="4382" width="20.625" style="121" customWidth="1"/>
    <col min="4383" max="4383" width="2.25" style="121" bestFit="1" customWidth="1"/>
    <col min="4384" max="4384" width="20.625" style="121" customWidth="1"/>
    <col min="4385" max="4385" width="2.25" style="121" bestFit="1" customWidth="1"/>
    <col min="4386" max="4386" width="20.625" style="121" customWidth="1"/>
    <col min="4387" max="4387" width="2.25" style="121" bestFit="1" customWidth="1"/>
    <col min="4388" max="4388" width="20.625" style="121" customWidth="1"/>
    <col min="4389" max="4389" width="2.25" style="121" bestFit="1" customWidth="1"/>
    <col min="4390" max="4390" width="20.625" style="121" customWidth="1"/>
    <col min="4391" max="4391" width="2.25" style="121" bestFit="1" customWidth="1"/>
    <col min="4392" max="4392" width="20.625" style="121" customWidth="1"/>
    <col min="4393" max="4393" width="2.25" style="121" bestFit="1" customWidth="1"/>
    <col min="4394" max="4394" width="20.625" style="121" customWidth="1"/>
    <col min="4395" max="4395" width="2.25" style="121" bestFit="1" customWidth="1"/>
    <col min="4396" max="4396" width="20.625" style="121" customWidth="1"/>
    <col min="4397" max="4397" width="2.25" style="121" bestFit="1" customWidth="1"/>
    <col min="4398" max="4398" width="20.625" style="121" customWidth="1"/>
    <col min="4399" max="4399" width="2.25" style="121" bestFit="1" customWidth="1"/>
    <col min="4400" max="4400" width="20.625" style="121" customWidth="1"/>
    <col min="4401" max="4401" width="2.25" style="121" bestFit="1" customWidth="1"/>
    <col min="4402" max="4402" width="20.625" style="121" customWidth="1"/>
    <col min="4403" max="4608" width="9" style="121"/>
    <col min="4609" max="4609" width="3.375" style="121" bestFit="1" customWidth="1"/>
    <col min="4610" max="4615" width="10.375" style="121" customWidth="1"/>
    <col min="4616" max="4618" width="11.625" style="121" customWidth="1"/>
    <col min="4619" max="4621" width="10.375" style="121" customWidth="1"/>
    <col min="4622" max="4633" width="5.875" style="121" customWidth="1"/>
    <col min="4634" max="4634" width="3.625" style="121" customWidth="1"/>
    <col min="4635" max="4635" width="2.25" style="121" bestFit="1" customWidth="1"/>
    <col min="4636" max="4636" width="20.625" style="121" customWidth="1"/>
    <col min="4637" max="4637" width="2.25" style="121" bestFit="1" customWidth="1"/>
    <col min="4638" max="4638" width="20.625" style="121" customWidth="1"/>
    <col min="4639" max="4639" width="2.25" style="121" bestFit="1" customWidth="1"/>
    <col min="4640" max="4640" width="20.625" style="121" customWidth="1"/>
    <col min="4641" max="4641" width="2.25" style="121" bestFit="1" customWidth="1"/>
    <col min="4642" max="4642" width="20.625" style="121" customWidth="1"/>
    <col min="4643" max="4643" width="2.25" style="121" bestFit="1" customWidth="1"/>
    <col min="4644" max="4644" width="20.625" style="121" customWidth="1"/>
    <col min="4645" max="4645" width="2.25" style="121" bestFit="1" customWidth="1"/>
    <col min="4646" max="4646" width="20.625" style="121" customWidth="1"/>
    <col min="4647" max="4647" width="2.25" style="121" bestFit="1" customWidth="1"/>
    <col min="4648" max="4648" width="20.625" style="121" customWidth="1"/>
    <col min="4649" max="4649" width="2.25" style="121" bestFit="1" customWidth="1"/>
    <col min="4650" max="4650" width="20.625" style="121" customWidth="1"/>
    <col min="4651" max="4651" width="2.25" style="121" bestFit="1" customWidth="1"/>
    <col min="4652" max="4652" width="20.625" style="121" customWidth="1"/>
    <col min="4653" max="4653" width="2.25" style="121" bestFit="1" customWidth="1"/>
    <col min="4654" max="4654" width="20.625" style="121" customWidth="1"/>
    <col min="4655" max="4655" width="2.25" style="121" bestFit="1" customWidth="1"/>
    <col min="4656" max="4656" width="20.625" style="121" customWidth="1"/>
    <col min="4657" max="4657" width="2.25" style="121" bestFit="1" customWidth="1"/>
    <col min="4658" max="4658" width="20.625" style="121" customWidth="1"/>
    <col min="4659" max="4864" width="9" style="121"/>
    <col min="4865" max="4865" width="3.375" style="121" bestFit="1" customWidth="1"/>
    <col min="4866" max="4871" width="10.375" style="121" customWidth="1"/>
    <col min="4872" max="4874" width="11.625" style="121" customWidth="1"/>
    <col min="4875" max="4877" width="10.375" style="121" customWidth="1"/>
    <col min="4878" max="4889" width="5.875" style="121" customWidth="1"/>
    <col min="4890" max="4890" width="3.625" style="121" customWidth="1"/>
    <col min="4891" max="4891" width="2.25" style="121" bestFit="1" customWidth="1"/>
    <col min="4892" max="4892" width="20.625" style="121" customWidth="1"/>
    <col min="4893" max="4893" width="2.25" style="121" bestFit="1" customWidth="1"/>
    <col min="4894" max="4894" width="20.625" style="121" customWidth="1"/>
    <col min="4895" max="4895" width="2.25" style="121" bestFit="1" customWidth="1"/>
    <col min="4896" max="4896" width="20.625" style="121" customWidth="1"/>
    <col min="4897" max="4897" width="2.25" style="121" bestFit="1" customWidth="1"/>
    <col min="4898" max="4898" width="20.625" style="121" customWidth="1"/>
    <col min="4899" max="4899" width="2.25" style="121" bestFit="1" customWidth="1"/>
    <col min="4900" max="4900" width="20.625" style="121" customWidth="1"/>
    <col min="4901" max="4901" width="2.25" style="121" bestFit="1" customWidth="1"/>
    <col min="4902" max="4902" width="20.625" style="121" customWidth="1"/>
    <col min="4903" max="4903" width="2.25" style="121" bestFit="1" customWidth="1"/>
    <col min="4904" max="4904" width="20.625" style="121" customWidth="1"/>
    <col min="4905" max="4905" width="2.25" style="121" bestFit="1" customWidth="1"/>
    <col min="4906" max="4906" width="20.625" style="121" customWidth="1"/>
    <col min="4907" max="4907" width="2.25" style="121" bestFit="1" customWidth="1"/>
    <col min="4908" max="4908" width="20.625" style="121" customWidth="1"/>
    <col min="4909" max="4909" width="2.25" style="121" bestFit="1" customWidth="1"/>
    <col min="4910" max="4910" width="20.625" style="121" customWidth="1"/>
    <col min="4911" max="4911" width="2.25" style="121" bestFit="1" customWidth="1"/>
    <col min="4912" max="4912" width="20.625" style="121" customWidth="1"/>
    <col min="4913" max="4913" width="2.25" style="121" bestFit="1" customWidth="1"/>
    <col min="4914" max="4914" width="20.625" style="121" customWidth="1"/>
    <col min="4915" max="5120" width="9" style="121"/>
    <col min="5121" max="5121" width="3.375" style="121" bestFit="1" customWidth="1"/>
    <col min="5122" max="5127" width="10.375" style="121" customWidth="1"/>
    <col min="5128" max="5130" width="11.625" style="121" customWidth="1"/>
    <col min="5131" max="5133" width="10.375" style="121" customWidth="1"/>
    <col min="5134" max="5145" width="5.875" style="121" customWidth="1"/>
    <col min="5146" max="5146" width="3.625" style="121" customWidth="1"/>
    <col min="5147" max="5147" width="2.25" style="121" bestFit="1" customWidth="1"/>
    <col min="5148" max="5148" width="20.625" style="121" customWidth="1"/>
    <col min="5149" max="5149" width="2.25" style="121" bestFit="1" customWidth="1"/>
    <col min="5150" max="5150" width="20.625" style="121" customWidth="1"/>
    <col min="5151" max="5151" width="2.25" style="121" bestFit="1" customWidth="1"/>
    <col min="5152" max="5152" width="20.625" style="121" customWidth="1"/>
    <col min="5153" max="5153" width="2.25" style="121" bestFit="1" customWidth="1"/>
    <col min="5154" max="5154" width="20.625" style="121" customWidth="1"/>
    <col min="5155" max="5155" width="2.25" style="121" bestFit="1" customWidth="1"/>
    <col min="5156" max="5156" width="20.625" style="121" customWidth="1"/>
    <col min="5157" max="5157" width="2.25" style="121" bestFit="1" customWidth="1"/>
    <col min="5158" max="5158" width="20.625" style="121" customWidth="1"/>
    <col min="5159" max="5159" width="2.25" style="121" bestFit="1" customWidth="1"/>
    <col min="5160" max="5160" width="20.625" style="121" customWidth="1"/>
    <col min="5161" max="5161" width="2.25" style="121" bestFit="1" customWidth="1"/>
    <col min="5162" max="5162" width="20.625" style="121" customWidth="1"/>
    <col min="5163" max="5163" width="2.25" style="121" bestFit="1" customWidth="1"/>
    <col min="5164" max="5164" width="20.625" style="121" customWidth="1"/>
    <col min="5165" max="5165" width="2.25" style="121" bestFit="1" customWidth="1"/>
    <col min="5166" max="5166" width="20.625" style="121" customWidth="1"/>
    <col min="5167" max="5167" width="2.25" style="121" bestFit="1" customWidth="1"/>
    <col min="5168" max="5168" width="20.625" style="121" customWidth="1"/>
    <col min="5169" max="5169" width="2.25" style="121" bestFit="1" customWidth="1"/>
    <col min="5170" max="5170" width="20.625" style="121" customWidth="1"/>
    <col min="5171" max="5376" width="9" style="121"/>
    <col min="5377" max="5377" width="3.375" style="121" bestFit="1" customWidth="1"/>
    <col min="5378" max="5383" width="10.375" style="121" customWidth="1"/>
    <col min="5384" max="5386" width="11.625" style="121" customWidth="1"/>
    <col min="5387" max="5389" width="10.375" style="121" customWidth="1"/>
    <col min="5390" max="5401" width="5.875" style="121" customWidth="1"/>
    <col min="5402" max="5402" width="3.625" style="121" customWidth="1"/>
    <col min="5403" max="5403" width="2.25" style="121" bestFit="1" customWidth="1"/>
    <col min="5404" max="5404" width="20.625" style="121" customWidth="1"/>
    <col min="5405" max="5405" width="2.25" style="121" bestFit="1" customWidth="1"/>
    <col min="5406" max="5406" width="20.625" style="121" customWidth="1"/>
    <col min="5407" max="5407" width="2.25" style="121" bestFit="1" customWidth="1"/>
    <col min="5408" max="5408" width="20.625" style="121" customWidth="1"/>
    <col min="5409" max="5409" width="2.25" style="121" bestFit="1" customWidth="1"/>
    <col min="5410" max="5410" width="20.625" style="121" customWidth="1"/>
    <col min="5411" max="5411" width="2.25" style="121" bestFit="1" customWidth="1"/>
    <col min="5412" max="5412" width="20.625" style="121" customWidth="1"/>
    <col min="5413" max="5413" width="2.25" style="121" bestFit="1" customWidth="1"/>
    <col min="5414" max="5414" width="20.625" style="121" customWidth="1"/>
    <col min="5415" max="5415" width="2.25" style="121" bestFit="1" customWidth="1"/>
    <col min="5416" max="5416" width="20.625" style="121" customWidth="1"/>
    <col min="5417" max="5417" width="2.25" style="121" bestFit="1" customWidth="1"/>
    <col min="5418" max="5418" width="20.625" style="121" customWidth="1"/>
    <col min="5419" max="5419" width="2.25" style="121" bestFit="1" customWidth="1"/>
    <col min="5420" max="5420" width="20.625" style="121" customWidth="1"/>
    <col min="5421" max="5421" width="2.25" style="121" bestFit="1" customWidth="1"/>
    <col min="5422" max="5422" width="20.625" style="121" customWidth="1"/>
    <col min="5423" max="5423" width="2.25" style="121" bestFit="1" customWidth="1"/>
    <col min="5424" max="5424" width="20.625" style="121" customWidth="1"/>
    <col min="5425" max="5425" width="2.25" style="121" bestFit="1" customWidth="1"/>
    <col min="5426" max="5426" width="20.625" style="121" customWidth="1"/>
    <col min="5427" max="5632" width="9" style="121"/>
    <col min="5633" max="5633" width="3.375" style="121" bestFit="1" customWidth="1"/>
    <col min="5634" max="5639" width="10.375" style="121" customWidth="1"/>
    <col min="5640" max="5642" width="11.625" style="121" customWidth="1"/>
    <col min="5643" max="5645" width="10.375" style="121" customWidth="1"/>
    <col min="5646" max="5657" width="5.875" style="121" customWidth="1"/>
    <col min="5658" max="5658" width="3.625" style="121" customWidth="1"/>
    <col min="5659" max="5659" width="2.25" style="121" bestFit="1" customWidth="1"/>
    <col min="5660" max="5660" width="20.625" style="121" customWidth="1"/>
    <col min="5661" max="5661" width="2.25" style="121" bestFit="1" customWidth="1"/>
    <col min="5662" max="5662" width="20.625" style="121" customWidth="1"/>
    <col min="5663" max="5663" width="2.25" style="121" bestFit="1" customWidth="1"/>
    <col min="5664" max="5664" width="20.625" style="121" customWidth="1"/>
    <col min="5665" max="5665" width="2.25" style="121" bestFit="1" customWidth="1"/>
    <col min="5666" max="5666" width="20.625" style="121" customWidth="1"/>
    <col min="5667" max="5667" width="2.25" style="121" bestFit="1" customWidth="1"/>
    <col min="5668" max="5668" width="20.625" style="121" customWidth="1"/>
    <col min="5669" max="5669" width="2.25" style="121" bestFit="1" customWidth="1"/>
    <col min="5670" max="5670" width="20.625" style="121" customWidth="1"/>
    <col min="5671" max="5671" width="2.25" style="121" bestFit="1" customWidth="1"/>
    <col min="5672" max="5672" width="20.625" style="121" customWidth="1"/>
    <col min="5673" max="5673" width="2.25" style="121" bestFit="1" customWidth="1"/>
    <col min="5674" max="5674" width="20.625" style="121" customWidth="1"/>
    <col min="5675" max="5675" width="2.25" style="121" bestFit="1" customWidth="1"/>
    <col min="5676" max="5676" width="20.625" style="121" customWidth="1"/>
    <col min="5677" max="5677" width="2.25" style="121" bestFit="1" customWidth="1"/>
    <col min="5678" max="5678" width="20.625" style="121" customWidth="1"/>
    <col min="5679" max="5679" width="2.25" style="121" bestFit="1" customWidth="1"/>
    <col min="5680" max="5680" width="20.625" style="121" customWidth="1"/>
    <col min="5681" max="5681" width="2.25" style="121" bestFit="1" customWidth="1"/>
    <col min="5682" max="5682" width="20.625" style="121" customWidth="1"/>
    <col min="5683" max="5888" width="9" style="121"/>
    <col min="5889" max="5889" width="3.375" style="121" bestFit="1" customWidth="1"/>
    <col min="5890" max="5895" width="10.375" style="121" customWidth="1"/>
    <col min="5896" max="5898" width="11.625" style="121" customWidth="1"/>
    <col min="5899" max="5901" width="10.375" style="121" customWidth="1"/>
    <col min="5902" max="5913" width="5.875" style="121" customWidth="1"/>
    <col min="5914" max="5914" width="3.625" style="121" customWidth="1"/>
    <col min="5915" max="5915" width="2.25" style="121" bestFit="1" customWidth="1"/>
    <col min="5916" max="5916" width="20.625" style="121" customWidth="1"/>
    <col min="5917" max="5917" width="2.25" style="121" bestFit="1" customWidth="1"/>
    <col min="5918" max="5918" width="20.625" style="121" customWidth="1"/>
    <col min="5919" max="5919" width="2.25" style="121" bestFit="1" customWidth="1"/>
    <col min="5920" max="5920" width="20.625" style="121" customWidth="1"/>
    <col min="5921" max="5921" width="2.25" style="121" bestFit="1" customWidth="1"/>
    <col min="5922" max="5922" width="20.625" style="121" customWidth="1"/>
    <col min="5923" max="5923" width="2.25" style="121" bestFit="1" customWidth="1"/>
    <col min="5924" max="5924" width="20.625" style="121" customWidth="1"/>
    <col min="5925" max="5925" width="2.25" style="121" bestFit="1" customWidth="1"/>
    <col min="5926" max="5926" width="20.625" style="121" customWidth="1"/>
    <col min="5927" max="5927" width="2.25" style="121" bestFit="1" customWidth="1"/>
    <col min="5928" max="5928" width="20.625" style="121" customWidth="1"/>
    <col min="5929" max="5929" width="2.25" style="121" bestFit="1" customWidth="1"/>
    <col min="5930" max="5930" width="20.625" style="121" customWidth="1"/>
    <col min="5931" max="5931" width="2.25" style="121" bestFit="1" customWidth="1"/>
    <col min="5932" max="5932" width="20.625" style="121" customWidth="1"/>
    <col min="5933" max="5933" width="2.25" style="121" bestFit="1" customWidth="1"/>
    <col min="5934" max="5934" width="20.625" style="121" customWidth="1"/>
    <col min="5935" max="5935" width="2.25" style="121" bestFit="1" customWidth="1"/>
    <col min="5936" max="5936" width="20.625" style="121" customWidth="1"/>
    <col min="5937" max="5937" width="2.25" style="121" bestFit="1" customWidth="1"/>
    <col min="5938" max="5938" width="20.625" style="121" customWidth="1"/>
    <col min="5939" max="6144" width="9" style="121"/>
    <col min="6145" max="6145" width="3.375" style="121" bestFit="1" customWidth="1"/>
    <col min="6146" max="6151" width="10.375" style="121" customWidth="1"/>
    <col min="6152" max="6154" width="11.625" style="121" customWidth="1"/>
    <col min="6155" max="6157" width="10.375" style="121" customWidth="1"/>
    <col min="6158" max="6169" width="5.875" style="121" customWidth="1"/>
    <col min="6170" max="6170" width="3.625" style="121" customWidth="1"/>
    <col min="6171" max="6171" width="2.25" style="121" bestFit="1" customWidth="1"/>
    <col min="6172" max="6172" width="20.625" style="121" customWidth="1"/>
    <col min="6173" max="6173" width="2.25" style="121" bestFit="1" customWidth="1"/>
    <col min="6174" max="6174" width="20.625" style="121" customWidth="1"/>
    <col min="6175" max="6175" width="2.25" style="121" bestFit="1" customWidth="1"/>
    <col min="6176" max="6176" width="20.625" style="121" customWidth="1"/>
    <col min="6177" max="6177" width="2.25" style="121" bestFit="1" customWidth="1"/>
    <col min="6178" max="6178" width="20.625" style="121" customWidth="1"/>
    <col min="6179" max="6179" width="2.25" style="121" bestFit="1" customWidth="1"/>
    <col min="6180" max="6180" width="20.625" style="121" customWidth="1"/>
    <col min="6181" max="6181" width="2.25" style="121" bestFit="1" customWidth="1"/>
    <col min="6182" max="6182" width="20.625" style="121" customWidth="1"/>
    <col min="6183" max="6183" width="2.25" style="121" bestFit="1" customWidth="1"/>
    <col min="6184" max="6184" width="20.625" style="121" customWidth="1"/>
    <col min="6185" max="6185" width="2.25" style="121" bestFit="1" customWidth="1"/>
    <col min="6186" max="6186" width="20.625" style="121" customWidth="1"/>
    <col min="6187" max="6187" width="2.25" style="121" bestFit="1" customWidth="1"/>
    <col min="6188" max="6188" width="20.625" style="121" customWidth="1"/>
    <col min="6189" max="6189" width="2.25" style="121" bestFit="1" customWidth="1"/>
    <col min="6190" max="6190" width="20.625" style="121" customWidth="1"/>
    <col min="6191" max="6191" width="2.25" style="121" bestFit="1" customWidth="1"/>
    <col min="6192" max="6192" width="20.625" style="121" customWidth="1"/>
    <col min="6193" max="6193" width="2.25" style="121" bestFit="1" customWidth="1"/>
    <col min="6194" max="6194" width="20.625" style="121" customWidth="1"/>
    <col min="6195" max="6400" width="9" style="121"/>
    <col min="6401" max="6401" width="3.375" style="121" bestFit="1" customWidth="1"/>
    <col min="6402" max="6407" width="10.375" style="121" customWidth="1"/>
    <col min="6408" max="6410" width="11.625" style="121" customWidth="1"/>
    <col min="6411" max="6413" width="10.375" style="121" customWidth="1"/>
    <col min="6414" max="6425" width="5.875" style="121" customWidth="1"/>
    <col min="6426" max="6426" width="3.625" style="121" customWidth="1"/>
    <col min="6427" max="6427" width="2.25" style="121" bestFit="1" customWidth="1"/>
    <col min="6428" max="6428" width="20.625" style="121" customWidth="1"/>
    <col min="6429" max="6429" width="2.25" style="121" bestFit="1" customWidth="1"/>
    <col min="6430" max="6430" width="20.625" style="121" customWidth="1"/>
    <col min="6431" max="6431" width="2.25" style="121" bestFit="1" customWidth="1"/>
    <col min="6432" max="6432" width="20.625" style="121" customWidth="1"/>
    <col min="6433" max="6433" width="2.25" style="121" bestFit="1" customWidth="1"/>
    <col min="6434" max="6434" width="20.625" style="121" customWidth="1"/>
    <col min="6435" max="6435" width="2.25" style="121" bestFit="1" customWidth="1"/>
    <col min="6436" max="6436" width="20.625" style="121" customWidth="1"/>
    <col min="6437" max="6437" width="2.25" style="121" bestFit="1" customWidth="1"/>
    <col min="6438" max="6438" width="20.625" style="121" customWidth="1"/>
    <col min="6439" max="6439" width="2.25" style="121" bestFit="1" customWidth="1"/>
    <col min="6440" max="6440" width="20.625" style="121" customWidth="1"/>
    <col min="6441" max="6441" width="2.25" style="121" bestFit="1" customWidth="1"/>
    <col min="6442" max="6442" width="20.625" style="121" customWidth="1"/>
    <col min="6443" max="6443" width="2.25" style="121" bestFit="1" customWidth="1"/>
    <col min="6444" max="6444" width="20.625" style="121" customWidth="1"/>
    <col min="6445" max="6445" width="2.25" style="121" bestFit="1" customWidth="1"/>
    <col min="6446" max="6446" width="20.625" style="121" customWidth="1"/>
    <col min="6447" max="6447" width="2.25" style="121" bestFit="1" customWidth="1"/>
    <col min="6448" max="6448" width="20.625" style="121" customWidth="1"/>
    <col min="6449" max="6449" width="2.25" style="121" bestFit="1" customWidth="1"/>
    <col min="6450" max="6450" width="20.625" style="121" customWidth="1"/>
    <col min="6451" max="6656" width="9" style="121"/>
    <col min="6657" max="6657" width="3.375" style="121" bestFit="1" customWidth="1"/>
    <col min="6658" max="6663" width="10.375" style="121" customWidth="1"/>
    <col min="6664" max="6666" width="11.625" style="121" customWidth="1"/>
    <col min="6667" max="6669" width="10.375" style="121" customWidth="1"/>
    <col min="6670" max="6681" width="5.875" style="121" customWidth="1"/>
    <col min="6682" max="6682" width="3.625" style="121" customWidth="1"/>
    <col min="6683" max="6683" width="2.25" style="121" bestFit="1" customWidth="1"/>
    <col min="6684" max="6684" width="20.625" style="121" customWidth="1"/>
    <col min="6685" max="6685" width="2.25" style="121" bestFit="1" customWidth="1"/>
    <col min="6686" max="6686" width="20.625" style="121" customWidth="1"/>
    <col min="6687" max="6687" width="2.25" style="121" bestFit="1" customWidth="1"/>
    <col min="6688" max="6688" width="20.625" style="121" customWidth="1"/>
    <col min="6689" max="6689" width="2.25" style="121" bestFit="1" customWidth="1"/>
    <col min="6690" max="6690" width="20.625" style="121" customWidth="1"/>
    <col min="6691" max="6691" width="2.25" style="121" bestFit="1" customWidth="1"/>
    <col min="6692" max="6692" width="20.625" style="121" customWidth="1"/>
    <col min="6693" max="6693" width="2.25" style="121" bestFit="1" customWidth="1"/>
    <col min="6694" max="6694" width="20.625" style="121" customWidth="1"/>
    <col min="6695" max="6695" width="2.25" style="121" bestFit="1" customWidth="1"/>
    <col min="6696" max="6696" width="20.625" style="121" customWidth="1"/>
    <col min="6697" max="6697" width="2.25" style="121" bestFit="1" customWidth="1"/>
    <col min="6698" max="6698" width="20.625" style="121" customWidth="1"/>
    <col min="6699" max="6699" width="2.25" style="121" bestFit="1" customWidth="1"/>
    <col min="6700" max="6700" width="20.625" style="121" customWidth="1"/>
    <col min="6701" max="6701" width="2.25" style="121" bestFit="1" customWidth="1"/>
    <col min="6702" max="6702" width="20.625" style="121" customWidth="1"/>
    <col min="6703" max="6703" width="2.25" style="121" bestFit="1" customWidth="1"/>
    <col min="6704" max="6704" width="20.625" style="121" customWidth="1"/>
    <col min="6705" max="6705" width="2.25" style="121" bestFit="1" customWidth="1"/>
    <col min="6706" max="6706" width="20.625" style="121" customWidth="1"/>
    <col min="6707" max="6912" width="9" style="121"/>
    <col min="6913" max="6913" width="3.375" style="121" bestFit="1" customWidth="1"/>
    <col min="6914" max="6919" width="10.375" style="121" customWidth="1"/>
    <col min="6920" max="6922" width="11.625" style="121" customWidth="1"/>
    <col min="6923" max="6925" width="10.375" style="121" customWidth="1"/>
    <col min="6926" max="6937" width="5.875" style="121" customWidth="1"/>
    <col min="6938" max="6938" width="3.625" style="121" customWidth="1"/>
    <col min="6939" max="6939" width="2.25" style="121" bestFit="1" customWidth="1"/>
    <col min="6940" max="6940" width="20.625" style="121" customWidth="1"/>
    <col min="6941" max="6941" width="2.25" style="121" bestFit="1" customWidth="1"/>
    <col min="6942" max="6942" width="20.625" style="121" customWidth="1"/>
    <col min="6943" max="6943" width="2.25" style="121" bestFit="1" customWidth="1"/>
    <col min="6944" max="6944" width="20.625" style="121" customWidth="1"/>
    <col min="6945" max="6945" width="2.25" style="121" bestFit="1" customWidth="1"/>
    <col min="6946" max="6946" width="20.625" style="121" customWidth="1"/>
    <col min="6947" max="6947" width="2.25" style="121" bestFit="1" customWidth="1"/>
    <col min="6948" max="6948" width="20.625" style="121" customWidth="1"/>
    <col min="6949" max="6949" width="2.25" style="121" bestFit="1" customWidth="1"/>
    <col min="6950" max="6950" width="20.625" style="121" customWidth="1"/>
    <col min="6951" max="6951" width="2.25" style="121" bestFit="1" customWidth="1"/>
    <col min="6952" max="6952" width="20.625" style="121" customWidth="1"/>
    <col min="6953" max="6953" width="2.25" style="121" bestFit="1" customWidth="1"/>
    <col min="6954" max="6954" width="20.625" style="121" customWidth="1"/>
    <col min="6955" max="6955" width="2.25" style="121" bestFit="1" customWidth="1"/>
    <col min="6956" max="6956" width="20.625" style="121" customWidth="1"/>
    <col min="6957" max="6957" width="2.25" style="121" bestFit="1" customWidth="1"/>
    <col min="6958" max="6958" width="20.625" style="121" customWidth="1"/>
    <col min="6959" max="6959" width="2.25" style="121" bestFit="1" customWidth="1"/>
    <col min="6960" max="6960" width="20.625" style="121" customWidth="1"/>
    <col min="6961" max="6961" width="2.25" style="121" bestFit="1" customWidth="1"/>
    <col min="6962" max="6962" width="20.625" style="121" customWidth="1"/>
    <col min="6963" max="7168" width="9" style="121"/>
    <col min="7169" max="7169" width="3.375" style="121" bestFit="1" customWidth="1"/>
    <col min="7170" max="7175" width="10.375" style="121" customWidth="1"/>
    <col min="7176" max="7178" width="11.625" style="121" customWidth="1"/>
    <col min="7179" max="7181" width="10.375" style="121" customWidth="1"/>
    <col min="7182" max="7193" width="5.875" style="121" customWidth="1"/>
    <col min="7194" max="7194" width="3.625" style="121" customWidth="1"/>
    <col min="7195" max="7195" width="2.25" style="121" bestFit="1" customWidth="1"/>
    <col min="7196" max="7196" width="20.625" style="121" customWidth="1"/>
    <col min="7197" max="7197" width="2.25" style="121" bestFit="1" customWidth="1"/>
    <col min="7198" max="7198" width="20.625" style="121" customWidth="1"/>
    <col min="7199" max="7199" width="2.25" style="121" bestFit="1" customWidth="1"/>
    <col min="7200" max="7200" width="20.625" style="121" customWidth="1"/>
    <col min="7201" max="7201" width="2.25" style="121" bestFit="1" customWidth="1"/>
    <col min="7202" max="7202" width="20.625" style="121" customWidth="1"/>
    <col min="7203" max="7203" width="2.25" style="121" bestFit="1" customWidth="1"/>
    <col min="7204" max="7204" width="20.625" style="121" customWidth="1"/>
    <col min="7205" max="7205" width="2.25" style="121" bestFit="1" customWidth="1"/>
    <col min="7206" max="7206" width="20.625" style="121" customWidth="1"/>
    <col min="7207" max="7207" width="2.25" style="121" bestFit="1" customWidth="1"/>
    <col min="7208" max="7208" width="20.625" style="121" customWidth="1"/>
    <col min="7209" max="7209" width="2.25" style="121" bestFit="1" customWidth="1"/>
    <col min="7210" max="7210" width="20.625" style="121" customWidth="1"/>
    <col min="7211" max="7211" width="2.25" style="121" bestFit="1" customWidth="1"/>
    <col min="7212" max="7212" width="20.625" style="121" customWidth="1"/>
    <col min="7213" max="7213" width="2.25" style="121" bestFit="1" customWidth="1"/>
    <col min="7214" max="7214" width="20.625" style="121" customWidth="1"/>
    <col min="7215" max="7215" width="2.25" style="121" bestFit="1" customWidth="1"/>
    <col min="7216" max="7216" width="20.625" style="121" customWidth="1"/>
    <col min="7217" max="7217" width="2.25" style="121" bestFit="1" customWidth="1"/>
    <col min="7218" max="7218" width="20.625" style="121" customWidth="1"/>
    <col min="7219" max="7424" width="9" style="121"/>
    <col min="7425" max="7425" width="3.375" style="121" bestFit="1" customWidth="1"/>
    <col min="7426" max="7431" width="10.375" style="121" customWidth="1"/>
    <col min="7432" max="7434" width="11.625" style="121" customWidth="1"/>
    <col min="7435" max="7437" width="10.375" style="121" customWidth="1"/>
    <col min="7438" max="7449" width="5.875" style="121" customWidth="1"/>
    <col min="7450" max="7450" width="3.625" style="121" customWidth="1"/>
    <col min="7451" max="7451" width="2.25" style="121" bestFit="1" customWidth="1"/>
    <col min="7452" max="7452" width="20.625" style="121" customWidth="1"/>
    <col min="7453" max="7453" width="2.25" style="121" bestFit="1" customWidth="1"/>
    <col min="7454" max="7454" width="20.625" style="121" customWidth="1"/>
    <col min="7455" max="7455" width="2.25" style="121" bestFit="1" customWidth="1"/>
    <col min="7456" max="7456" width="20.625" style="121" customWidth="1"/>
    <col min="7457" max="7457" width="2.25" style="121" bestFit="1" customWidth="1"/>
    <col min="7458" max="7458" width="20.625" style="121" customWidth="1"/>
    <col min="7459" max="7459" width="2.25" style="121" bestFit="1" customWidth="1"/>
    <col min="7460" max="7460" width="20.625" style="121" customWidth="1"/>
    <col min="7461" max="7461" width="2.25" style="121" bestFit="1" customWidth="1"/>
    <col min="7462" max="7462" width="20.625" style="121" customWidth="1"/>
    <col min="7463" max="7463" width="2.25" style="121" bestFit="1" customWidth="1"/>
    <col min="7464" max="7464" width="20.625" style="121" customWidth="1"/>
    <col min="7465" max="7465" width="2.25" style="121" bestFit="1" customWidth="1"/>
    <col min="7466" max="7466" width="20.625" style="121" customWidth="1"/>
    <col min="7467" max="7467" width="2.25" style="121" bestFit="1" customWidth="1"/>
    <col min="7468" max="7468" width="20.625" style="121" customWidth="1"/>
    <col min="7469" max="7469" width="2.25" style="121" bestFit="1" customWidth="1"/>
    <col min="7470" max="7470" width="20.625" style="121" customWidth="1"/>
    <col min="7471" max="7471" width="2.25" style="121" bestFit="1" customWidth="1"/>
    <col min="7472" max="7472" width="20.625" style="121" customWidth="1"/>
    <col min="7473" max="7473" width="2.25" style="121" bestFit="1" customWidth="1"/>
    <col min="7474" max="7474" width="20.625" style="121" customWidth="1"/>
    <col min="7475" max="7680" width="9" style="121"/>
    <col min="7681" max="7681" width="3.375" style="121" bestFit="1" customWidth="1"/>
    <col min="7682" max="7687" width="10.375" style="121" customWidth="1"/>
    <col min="7688" max="7690" width="11.625" style="121" customWidth="1"/>
    <col min="7691" max="7693" width="10.375" style="121" customWidth="1"/>
    <col min="7694" max="7705" width="5.875" style="121" customWidth="1"/>
    <col min="7706" max="7706" width="3.625" style="121" customWidth="1"/>
    <col min="7707" max="7707" width="2.25" style="121" bestFit="1" customWidth="1"/>
    <col min="7708" max="7708" width="20.625" style="121" customWidth="1"/>
    <col min="7709" max="7709" width="2.25" style="121" bestFit="1" customWidth="1"/>
    <col min="7710" max="7710" width="20.625" style="121" customWidth="1"/>
    <col min="7711" max="7711" width="2.25" style="121" bestFit="1" customWidth="1"/>
    <col min="7712" max="7712" width="20.625" style="121" customWidth="1"/>
    <col min="7713" max="7713" width="2.25" style="121" bestFit="1" customWidth="1"/>
    <col min="7714" max="7714" width="20.625" style="121" customWidth="1"/>
    <col min="7715" max="7715" width="2.25" style="121" bestFit="1" customWidth="1"/>
    <col min="7716" max="7716" width="20.625" style="121" customWidth="1"/>
    <col min="7717" max="7717" width="2.25" style="121" bestFit="1" customWidth="1"/>
    <col min="7718" max="7718" width="20.625" style="121" customWidth="1"/>
    <col min="7719" max="7719" width="2.25" style="121" bestFit="1" customWidth="1"/>
    <col min="7720" max="7720" width="20.625" style="121" customWidth="1"/>
    <col min="7721" max="7721" width="2.25" style="121" bestFit="1" customWidth="1"/>
    <col min="7722" max="7722" width="20.625" style="121" customWidth="1"/>
    <col min="7723" max="7723" width="2.25" style="121" bestFit="1" customWidth="1"/>
    <col min="7724" max="7724" width="20.625" style="121" customWidth="1"/>
    <col min="7725" max="7725" width="2.25" style="121" bestFit="1" customWidth="1"/>
    <col min="7726" max="7726" width="20.625" style="121" customWidth="1"/>
    <col min="7727" max="7727" width="2.25" style="121" bestFit="1" customWidth="1"/>
    <col min="7728" max="7728" width="20.625" style="121" customWidth="1"/>
    <col min="7729" max="7729" width="2.25" style="121" bestFit="1" customWidth="1"/>
    <col min="7730" max="7730" width="20.625" style="121" customWidth="1"/>
    <col min="7731" max="7936" width="9" style="121"/>
    <col min="7937" max="7937" width="3.375" style="121" bestFit="1" customWidth="1"/>
    <col min="7938" max="7943" width="10.375" style="121" customWidth="1"/>
    <col min="7944" max="7946" width="11.625" style="121" customWidth="1"/>
    <col min="7947" max="7949" width="10.375" style="121" customWidth="1"/>
    <col min="7950" max="7961" width="5.875" style="121" customWidth="1"/>
    <col min="7962" max="7962" width="3.625" style="121" customWidth="1"/>
    <col min="7963" max="7963" width="2.25" style="121" bestFit="1" customWidth="1"/>
    <col min="7964" max="7964" width="20.625" style="121" customWidth="1"/>
    <col min="7965" max="7965" width="2.25" style="121" bestFit="1" customWidth="1"/>
    <col min="7966" max="7966" width="20.625" style="121" customWidth="1"/>
    <col min="7967" max="7967" width="2.25" style="121" bestFit="1" customWidth="1"/>
    <col min="7968" max="7968" width="20.625" style="121" customWidth="1"/>
    <col min="7969" max="7969" width="2.25" style="121" bestFit="1" customWidth="1"/>
    <col min="7970" max="7970" width="20.625" style="121" customWidth="1"/>
    <col min="7971" max="7971" width="2.25" style="121" bestFit="1" customWidth="1"/>
    <col min="7972" max="7972" width="20.625" style="121" customWidth="1"/>
    <col min="7973" max="7973" width="2.25" style="121" bestFit="1" customWidth="1"/>
    <col min="7974" max="7974" width="20.625" style="121" customWidth="1"/>
    <col min="7975" max="7975" width="2.25" style="121" bestFit="1" customWidth="1"/>
    <col min="7976" max="7976" width="20.625" style="121" customWidth="1"/>
    <col min="7977" max="7977" width="2.25" style="121" bestFit="1" customWidth="1"/>
    <col min="7978" max="7978" width="20.625" style="121" customWidth="1"/>
    <col min="7979" max="7979" width="2.25" style="121" bestFit="1" customWidth="1"/>
    <col min="7980" max="7980" width="20.625" style="121" customWidth="1"/>
    <col min="7981" max="7981" width="2.25" style="121" bestFit="1" customWidth="1"/>
    <col min="7982" max="7982" width="20.625" style="121" customWidth="1"/>
    <col min="7983" max="7983" width="2.25" style="121" bestFit="1" customWidth="1"/>
    <col min="7984" max="7984" width="20.625" style="121" customWidth="1"/>
    <col min="7985" max="7985" width="2.25" style="121" bestFit="1" customWidth="1"/>
    <col min="7986" max="7986" width="20.625" style="121" customWidth="1"/>
    <col min="7987" max="8192" width="9" style="121"/>
    <col min="8193" max="8193" width="3.375" style="121" bestFit="1" customWidth="1"/>
    <col min="8194" max="8199" width="10.375" style="121" customWidth="1"/>
    <col min="8200" max="8202" width="11.625" style="121" customWidth="1"/>
    <col min="8203" max="8205" width="10.375" style="121" customWidth="1"/>
    <col min="8206" max="8217" width="5.875" style="121" customWidth="1"/>
    <col min="8218" max="8218" width="3.625" style="121" customWidth="1"/>
    <col min="8219" max="8219" width="2.25" style="121" bestFit="1" customWidth="1"/>
    <col min="8220" max="8220" width="20.625" style="121" customWidth="1"/>
    <col min="8221" max="8221" width="2.25" style="121" bestFit="1" customWidth="1"/>
    <col min="8222" max="8222" width="20.625" style="121" customWidth="1"/>
    <col min="8223" max="8223" width="2.25" style="121" bestFit="1" customWidth="1"/>
    <col min="8224" max="8224" width="20.625" style="121" customWidth="1"/>
    <col min="8225" max="8225" width="2.25" style="121" bestFit="1" customWidth="1"/>
    <col min="8226" max="8226" width="20.625" style="121" customWidth="1"/>
    <col min="8227" max="8227" width="2.25" style="121" bestFit="1" customWidth="1"/>
    <col min="8228" max="8228" width="20.625" style="121" customWidth="1"/>
    <col min="8229" max="8229" width="2.25" style="121" bestFit="1" customWidth="1"/>
    <col min="8230" max="8230" width="20.625" style="121" customWidth="1"/>
    <col min="8231" max="8231" width="2.25" style="121" bestFit="1" customWidth="1"/>
    <col min="8232" max="8232" width="20.625" style="121" customWidth="1"/>
    <col min="8233" max="8233" width="2.25" style="121" bestFit="1" customWidth="1"/>
    <col min="8234" max="8234" width="20.625" style="121" customWidth="1"/>
    <col min="8235" max="8235" width="2.25" style="121" bestFit="1" customWidth="1"/>
    <col min="8236" max="8236" width="20.625" style="121" customWidth="1"/>
    <col min="8237" max="8237" width="2.25" style="121" bestFit="1" customWidth="1"/>
    <col min="8238" max="8238" width="20.625" style="121" customWidth="1"/>
    <col min="8239" max="8239" width="2.25" style="121" bestFit="1" customWidth="1"/>
    <col min="8240" max="8240" width="20.625" style="121" customWidth="1"/>
    <col min="8241" max="8241" width="2.25" style="121" bestFit="1" customWidth="1"/>
    <col min="8242" max="8242" width="20.625" style="121" customWidth="1"/>
    <col min="8243" max="8448" width="9" style="121"/>
    <col min="8449" max="8449" width="3.375" style="121" bestFit="1" customWidth="1"/>
    <col min="8450" max="8455" width="10.375" style="121" customWidth="1"/>
    <col min="8456" max="8458" width="11.625" style="121" customWidth="1"/>
    <col min="8459" max="8461" width="10.375" style="121" customWidth="1"/>
    <col min="8462" max="8473" width="5.875" style="121" customWidth="1"/>
    <col min="8474" max="8474" width="3.625" style="121" customWidth="1"/>
    <col min="8475" max="8475" width="2.25" style="121" bestFit="1" customWidth="1"/>
    <col min="8476" max="8476" width="20.625" style="121" customWidth="1"/>
    <col min="8477" max="8477" width="2.25" style="121" bestFit="1" customWidth="1"/>
    <col min="8478" max="8478" width="20.625" style="121" customWidth="1"/>
    <col min="8479" max="8479" width="2.25" style="121" bestFit="1" customWidth="1"/>
    <col min="8480" max="8480" width="20.625" style="121" customWidth="1"/>
    <col min="8481" max="8481" width="2.25" style="121" bestFit="1" customWidth="1"/>
    <col min="8482" max="8482" width="20.625" style="121" customWidth="1"/>
    <col min="8483" max="8483" width="2.25" style="121" bestFit="1" customWidth="1"/>
    <col min="8484" max="8484" width="20.625" style="121" customWidth="1"/>
    <col min="8485" max="8485" width="2.25" style="121" bestFit="1" customWidth="1"/>
    <col min="8486" max="8486" width="20.625" style="121" customWidth="1"/>
    <col min="8487" max="8487" width="2.25" style="121" bestFit="1" customWidth="1"/>
    <col min="8488" max="8488" width="20.625" style="121" customWidth="1"/>
    <col min="8489" max="8489" width="2.25" style="121" bestFit="1" customWidth="1"/>
    <col min="8490" max="8490" width="20.625" style="121" customWidth="1"/>
    <col min="8491" max="8491" width="2.25" style="121" bestFit="1" customWidth="1"/>
    <col min="8492" max="8492" width="20.625" style="121" customWidth="1"/>
    <col min="8493" max="8493" width="2.25" style="121" bestFit="1" customWidth="1"/>
    <col min="8494" max="8494" width="20.625" style="121" customWidth="1"/>
    <col min="8495" max="8495" width="2.25" style="121" bestFit="1" customWidth="1"/>
    <col min="8496" max="8496" width="20.625" style="121" customWidth="1"/>
    <col min="8497" max="8497" width="2.25" style="121" bestFit="1" customWidth="1"/>
    <col min="8498" max="8498" width="20.625" style="121" customWidth="1"/>
    <col min="8499" max="8704" width="9" style="121"/>
    <col min="8705" max="8705" width="3.375" style="121" bestFit="1" customWidth="1"/>
    <col min="8706" max="8711" width="10.375" style="121" customWidth="1"/>
    <col min="8712" max="8714" width="11.625" style="121" customWidth="1"/>
    <col min="8715" max="8717" width="10.375" style="121" customWidth="1"/>
    <col min="8718" max="8729" width="5.875" style="121" customWidth="1"/>
    <col min="8730" max="8730" width="3.625" style="121" customWidth="1"/>
    <col min="8731" max="8731" width="2.25" style="121" bestFit="1" customWidth="1"/>
    <col min="8732" max="8732" width="20.625" style="121" customWidth="1"/>
    <col min="8733" max="8733" width="2.25" style="121" bestFit="1" customWidth="1"/>
    <col min="8734" max="8734" width="20.625" style="121" customWidth="1"/>
    <col min="8735" max="8735" width="2.25" style="121" bestFit="1" customWidth="1"/>
    <col min="8736" max="8736" width="20.625" style="121" customWidth="1"/>
    <col min="8737" max="8737" width="2.25" style="121" bestFit="1" customWidth="1"/>
    <col min="8738" max="8738" width="20.625" style="121" customWidth="1"/>
    <col min="8739" max="8739" width="2.25" style="121" bestFit="1" customWidth="1"/>
    <col min="8740" max="8740" width="20.625" style="121" customWidth="1"/>
    <col min="8741" max="8741" width="2.25" style="121" bestFit="1" customWidth="1"/>
    <col min="8742" max="8742" width="20.625" style="121" customWidth="1"/>
    <col min="8743" max="8743" width="2.25" style="121" bestFit="1" customWidth="1"/>
    <col min="8744" max="8744" width="20.625" style="121" customWidth="1"/>
    <col min="8745" max="8745" width="2.25" style="121" bestFit="1" customWidth="1"/>
    <col min="8746" max="8746" width="20.625" style="121" customWidth="1"/>
    <col min="8747" max="8747" width="2.25" style="121" bestFit="1" customWidth="1"/>
    <col min="8748" max="8748" width="20.625" style="121" customWidth="1"/>
    <col min="8749" max="8749" width="2.25" style="121" bestFit="1" customWidth="1"/>
    <col min="8750" max="8750" width="20.625" style="121" customWidth="1"/>
    <col min="8751" max="8751" width="2.25" style="121" bestFit="1" customWidth="1"/>
    <col min="8752" max="8752" width="20.625" style="121" customWidth="1"/>
    <col min="8753" max="8753" width="2.25" style="121" bestFit="1" customWidth="1"/>
    <col min="8754" max="8754" width="20.625" style="121" customWidth="1"/>
    <col min="8755" max="8960" width="9" style="121"/>
    <col min="8961" max="8961" width="3.375" style="121" bestFit="1" customWidth="1"/>
    <col min="8962" max="8967" width="10.375" style="121" customWidth="1"/>
    <col min="8968" max="8970" width="11.625" style="121" customWidth="1"/>
    <col min="8971" max="8973" width="10.375" style="121" customWidth="1"/>
    <col min="8974" max="8985" width="5.875" style="121" customWidth="1"/>
    <col min="8986" max="8986" width="3.625" style="121" customWidth="1"/>
    <col min="8987" max="8987" width="2.25" style="121" bestFit="1" customWidth="1"/>
    <col min="8988" max="8988" width="20.625" style="121" customWidth="1"/>
    <col min="8989" max="8989" width="2.25" style="121" bestFit="1" customWidth="1"/>
    <col min="8990" max="8990" width="20.625" style="121" customWidth="1"/>
    <col min="8991" max="8991" width="2.25" style="121" bestFit="1" customWidth="1"/>
    <col min="8992" max="8992" width="20.625" style="121" customWidth="1"/>
    <col min="8993" max="8993" width="2.25" style="121" bestFit="1" customWidth="1"/>
    <col min="8994" max="8994" width="20.625" style="121" customWidth="1"/>
    <col min="8995" max="8995" width="2.25" style="121" bestFit="1" customWidth="1"/>
    <col min="8996" max="8996" width="20.625" style="121" customWidth="1"/>
    <col min="8997" max="8997" width="2.25" style="121" bestFit="1" customWidth="1"/>
    <col min="8998" max="8998" width="20.625" style="121" customWidth="1"/>
    <col min="8999" max="8999" width="2.25" style="121" bestFit="1" customWidth="1"/>
    <col min="9000" max="9000" width="20.625" style="121" customWidth="1"/>
    <col min="9001" max="9001" width="2.25" style="121" bestFit="1" customWidth="1"/>
    <col min="9002" max="9002" width="20.625" style="121" customWidth="1"/>
    <col min="9003" max="9003" width="2.25" style="121" bestFit="1" customWidth="1"/>
    <col min="9004" max="9004" width="20.625" style="121" customWidth="1"/>
    <col min="9005" max="9005" width="2.25" style="121" bestFit="1" customWidth="1"/>
    <col min="9006" max="9006" width="20.625" style="121" customWidth="1"/>
    <col min="9007" max="9007" width="2.25" style="121" bestFit="1" customWidth="1"/>
    <col min="9008" max="9008" width="20.625" style="121" customWidth="1"/>
    <col min="9009" max="9009" width="2.25" style="121" bestFit="1" customWidth="1"/>
    <col min="9010" max="9010" width="20.625" style="121" customWidth="1"/>
    <col min="9011" max="9216" width="9" style="121"/>
    <col min="9217" max="9217" width="3.375" style="121" bestFit="1" customWidth="1"/>
    <col min="9218" max="9223" width="10.375" style="121" customWidth="1"/>
    <col min="9224" max="9226" width="11.625" style="121" customWidth="1"/>
    <col min="9227" max="9229" width="10.375" style="121" customWidth="1"/>
    <col min="9230" max="9241" width="5.875" style="121" customWidth="1"/>
    <col min="9242" max="9242" width="3.625" style="121" customWidth="1"/>
    <col min="9243" max="9243" width="2.25" style="121" bestFit="1" customWidth="1"/>
    <col min="9244" max="9244" width="20.625" style="121" customWidth="1"/>
    <col min="9245" max="9245" width="2.25" style="121" bestFit="1" customWidth="1"/>
    <col min="9246" max="9246" width="20.625" style="121" customWidth="1"/>
    <col min="9247" max="9247" width="2.25" style="121" bestFit="1" customWidth="1"/>
    <col min="9248" max="9248" width="20.625" style="121" customWidth="1"/>
    <col min="9249" max="9249" width="2.25" style="121" bestFit="1" customWidth="1"/>
    <col min="9250" max="9250" width="20.625" style="121" customWidth="1"/>
    <col min="9251" max="9251" width="2.25" style="121" bestFit="1" customWidth="1"/>
    <col min="9252" max="9252" width="20.625" style="121" customWidth="1"/>
    <col min="9253" max="9253" width="2.25" style="121" bestFit="1" customWidth="1"/>
    <col min="9254" max="9254" width="20.625" style="121" customWidth="1"/>
    <col min="9255" max="9255" width="2.25" style="121" bestFit="1" customWidth="1"/>
    <col min="9256" max="9256" width="20.625" style="121" customWidth="1"/>
    <col min="9257" max="9257" width="2.25" style="121" bestFit="1" customWidth="1"/>
    <col min="9258" max="9258" width="20.625" style="121" customWidth="1"/>
    <col min="9259" max="9259" width="2.25" style="121" bestFit="1" customWidth="1"/>
    <col min="9260" max="9260" width="20.625" style="121" customWidth="1"/>
    <col min="9261" max="9261" width="2.25" style="121" bestFit="1" customWidth="1"/>
    <col min="9262" max="9262" width="20.625" style="121" customWidth="1"/>
    <col min="9263" max="9263" width="2.25" style="121" bestFit="1" customWidth="1"/>
    <col min="9264" max="9264" width="20.625" style="121" customWidth="1"/>
    <col min="9265" max="9265" width="2.25" style="121" bestFit="1" customWidth="1"/>
    <col min="9266" max="9266" width="20.625" style="121" customWidth="1"/>
    <col min="9267" max="9472" width="9" style="121"/>
    <col min="9473" max="9473" width="3.375" style="121" bestFit="1" customWidth="1"/>
    <col min="9474" max="9479" width="10.375" style="121" customWidth="1"/>
    <col min="9480" max="9482" width="11.625" style="121" customWidth="1"/>
    <col min="9483" max="9485" width="10.375" style="121" customWidth="1"/>
    <col min="9486" max="9497" width="5.875" style="121" customWidth="1"/>
    <col min="9498" max="9498" width="3.625" style="121" customWidth="1"/>
    <col min="9499" max="9499" width="2.25" style="121" bestFit="1" customWidth="1"/>
    <col min="9500" max="9500" width="20.625" style="121" customWidth="1"/>
    <col min="9501" max="9501" width="2.25" style="121" bestFit="1" customWidth="1"/>
    <col min="9502" max="9502" width="20.625" style="121" customWidth="1"/>
    <col min="9503" max="9503" width="2.25" style="121" bestFit="1" customWidth="1"/>
    <col min="9504" max="9504" width="20.625" style="121" customWidth="1"/>
    <col min="9505" max="9505" width="2.25" style="121" bestFit="1" customWidth="1"/>
    <col min="9506" max="9506" width="20.625" style="121" customWidth="1"/>
    <col min="9507" max="9507" width="2.25" style="121" bestFit="1" customWidth="1"/>
    <col min="9508" max="9508" width="20.625" style="121" customWidth="1"/>
    <col min="9509" max="9509" width="2.25" style="121" bestFit="1" customWidth="1"/>
    <col min="9510" max="9510" width="20.625" style="121" customWidth="1"/>
    <col min="9511" max="9511" width="2.25" style="121" bestFit="1" customWidth="1"/>
    <col min="9512" max="9512" width="20.625" style="121" customWidth="1"/>
    <col min="9513" max="9513" width="2.25" style="121" bestFit="1" customWidth="1"/>
    <col min="9514" max="9514" width="20.625" style="121" customWidth="1"/>
    <col min="9515" max="9515" width="2.25" style="121" bestFit="1" customWidth="1"/>
    <col min="9516" max="9516" width="20.625" style="121" customWidth="1"/>
    <col min="9517" max="9517" width="2.25" style="121" bestFit="1" customWidth="1"/>
    <col min="9518" max="9518" width="20.625" style="121" customWidth="1"/>
    <col min="9519" max="9519" width="2.25" style="121" bestFit="1" customWidth="1"/>
    <col min="9520" max="9520" width="20.625" style="121" customWidth="1"/>
    <col min="9521" max="9521" width="2.25" style="121" bestFit="1" customWidth="1"/>
    <col min="9522" max="9522" width="20.625" style="121" customWidth="1"/>
    <col min="9523" max="9728" width="9" style="121"/>
    <col min="9729" max="9729" width="3.375" style="121" bestFit="1" customWidth="1"/>
    <col min="9730" max="9735" width="10.375" style="121" customWidth="1"/>
    <col min="9736" max="9738" width="11.625" style="121" customWidth="1"/>
    <col min="9739" max="9741" width="10.375" style="121" customWidth="1"/>
    <col min="9742" max="9753" width="5.875" style="121" customWidth="1"/>
    <col min="9754" max="9754" width="3.625" style="121" customWidth="1"/>
    <col min="9755" max="9755" width="2.25" style="121" bestFit="1" customWidth="1"/>
    <col min="9756" max="9756" width="20.625" style="121" customWidth="1"/>
    <col min="9757" max="9757" width="2.25" style="121" bestFit="1" customWidth="1"/>
    <col min="9758" max="9758" width="20.625" style="121" customWidth="1"/>
    <col min="9759" max="9759" width="2.25" style="121" bestFit="1" customWidth="1"/>
    <col min="9760" max="9760" width="20.625" style="121" customWidth="1"/>
    <col min="9761" max="9761" width="2.25" style="121" bestFit="1" customWidth="1"/>
    <col min="9762" max="9762" width="20.625" style="121" customWidth="1"/>
    <col min="9763" max="9763" width="2.25" style="121" bestFit="1" customWidth="1"/>
    <col min="9764" max="9764" width="20.625" style="121" customWidth="1"/>
    <col min="9765" max="9765" width="2.25" style="121" bestFit="1" customWidth="1"/>
    <col min="9766" max="9766" width="20.625" style="121" customWidth="1"/>
    <col min="9767" max="9767" width="2.25" style="121" bestFit="1" customWidth="1"/>
    <col min="9768" max="9768" width="20.625" style="121" customWidth="1"/>
    <col min="9769" max="9769" width="2.25" style="121" bestFit="1" customWidth="1"/>
    <col min="9770" max="9770" width="20.625" style="121" customWidth="1"/>
    <col min="9771" max="9771" width="2.25" style="121" bestFit="1" customWidth="1"/>
    <col min="9772" max="9772" width="20.625" style="121" customWidth="1"/>
    <col min="9773" max="9773" width="2.25" style="121" bestFit="1" customWidth="1"/>
    <col min="9774" max="9774" width="20.625" style="121" customWidth="1"/>
    <col min="9775" max="9775" width="2.25" style="121" bestFit="1" customWidth="1"/>
    <col min="9776" max="9776" width="20.625" style="121" customWidth="1"/>
    <col min="9777" max="9777" width="2.25" style="121" bestFit="1" customWidth="1"/>
    <col min="9778" max="9778" width="20.625" style="121" customWidth="1"/>
    <col min="9779" max="9984" width="9" style="121"/>
    <col min="9985" max="9985" width="3.375" style="121" bestFit="1" customWidth="1"/>
    <col min="9986" max="9991" width="10.375" style="121" customWidth="1"/>
    <col min="9992" max="9994" width="11.625" style="121" customWidth="1"/>
    <col min="9995" max="9997" width="10.375" style="121" customWidth="1"/>
    <col min="9998" max="10009" width="5.875" style="121" customWidth="1"/>
    <col min="10010" max="10010" width="3.625" style="121" customWidth="1"/>
    <col min="10011" max="10011" width="2.25" style="121" bestFit="1" customWidth="1"/>
    <col min="10012" max="10012" width="20.625" style="121" customWidth="1"/>
    <col min="10013" max="10013" width="2.25" style="121" bestFit="1" customWidth="1"/>
    <col min="10014" max="10014" width="20.625" style="121" customWidth="1"/>
    <col min="10015" max="10015" width="2.25" style="121" bestFit="1" customWidth="1"/>
    <col min="10016" max="10016" width="20.625" style="121" customWidth="1"/>
    <col min="10017" max="10017" width="2.25" style="121" bestFit="1" customWidth="1"/>
    <col min="10018" max="10018" width="20.625" style="121" customWidth="1"/>
    <col min="10019" max="10019" width="2.25" style="121" bestFit="1" customWidth="1"/>
    <col min="10020" max="10020" width="20.625" style="121" customWidth="1"/>
    <col min="10021" max="10021" width="2.25" style="121" bestFit="1" customWidth="1"/>
    <col min="10022" max="10022" width="20.625" style="121" customWidth="1"/>
    <col min="10023" max="10023" width="2.25" style="121" bestFit="1" customWidth="1"/>
    <col min="10024" max="10024" width="20.625" style="121" customWidth="1"/>
    <col min="10025" max="10025" width="2.25" style="121" bestFit="1" customWidth="1"/>
    <col min="10026" max="10026" width="20.625" style="121" customWidth="1"/>
    <col min="10027" max="10027" width="2.25" style="121" bestFit="1" customWidth="1"/>
    <col min="10028" max="10028" width="20.625" style="121" customWidth="1"/>
    <col min="10029" max="10029" width="2.25" style="121" bestFit="1" customWidth="1"/>
    <col min="10030" max="10030" width="20.625" style="121" customWidth="1"/>
    <col min="10031" max="10031" width="2.25" style="121" bestFit="1" customWidth="1"/>
    <col min="10032" max="10032" width="20.625" style="121" customWidth="1"/>
    <col min="10033" max="10033" width="2.25" style="121" bestFit="1" customWidth="1"/>
    <col min="10034" max="10034" width="20.625" style="121" customWidth="1"/>
    <col min="10035" max="10240" width="9" style="121"/>
    <col min="10241" max="10241" width="3.375" style="121" bestFit="1" customWidth="1"/>
    <col min="10242" max="10247" width="10.375" style="121" customWidth="1"/>
    <col min="10248" max="10250" width="11.625" style="121" customWidth="1"/>
    <col min="10251" max="10253" width="10.375" style="121" customWidth="1"/>
    <col min="10254" max="10265" width="5.875" style="121" customWidth="1"/>
    <col min="10266" max="10266" width="3.625" style="121" customWidth="1"/>
    <col min="10267" max="10267" width="2.25" style="121" bestFit="1" customWidth="1"/>
    <col min="10268" max="10268" width="20.625" style="121" customWidth="1"/>
    <col min="10269" max="10269" width="2.25" style="121" bestFit="1" customWidth="1"/>
    <col min="10270" max="10270" width="20.625" style="121" customWidth="1"/>
    <col min="10271" max="10271" width="2.25" style="121" bestFit="1" customWidth="1"/>
    <col min="10272" max="10272" width="20.625" style="121" customWidth="1"/>
    <col min="10273" max="10273" width="2.25" style="121" bestFit="1" customWidth="1"/>
    <col min="10274" max="10274" width="20.625" style="121" customWidth="1"/>
    <col min="10275" max="10275" width="2.25" style="121" bestFit="1" customWidth="1"/>
    <col min="10276" max="10276" width="20.625" style="121" customWidth="1"/>
    <col min="10277" max="10277" width="2.25" style="121" bestFit="1" customWidth="1"/>
    <col min="10278" max="10278" width="20.625" style="121" customWidth="1"/>
    <col min="10279" max="10279" width="2.25" style="121" bestFit="1" customWidth="1"/>
    <col min="10280" max="10280" width="20.625" style="121" customWidth="1"/>
    <col min="10281" max="10281" width="2.25" style="121" bestFit="1" customWidth="1"/>
    <col min="10282" max="10282" width="20.625" style="121" customWidth="1"/>
    <col min="10283" max="10283" width="2.25" style="121" bestFit="1" customWidth="1"/>
    <col min="10284" max="10284" width="20.625" style="121" customWidth="1"/>
    <col min="10285" max="10285" width="2.25" style="121" bestFit="1" customWidth="1"/>
    <col min="10286" max="10286" width="20.625" style="121" customWidth="1"/>
    <col min="10287" max="10287" width="2.25" style="121" bestFit="1" customWidth="1"/>
    <col min="10288" max="10288" width="20.625" style="121" customWidth="1"/>
    <col min="10289" max="10289" width="2.25" style="121" bestFit="1" customWidth="1"/>
    <col min="10290" max="10290" width="20.625" style="121" customWidth="1"/>
    <col min="10291" max="10496" width="9" style="121"/>
    <col min="10497" max="10497" width="3.375" style="121" bestFit="1" customWidth="1"/>
    <col min="10498" max="10503" width="10.375" style="121" customWidth="1"/>
    <col min="10504" max="10506" width="11.625" style="121" customWidth="1"/>
    <col min="10507" max="10509" width="10.375" style="121" customWidth="1"/>
    <col min="10510" max="10521" width="5.875" style="121" customWidth="1"/>
    <col min="10522" max="10522" width="3.625" style="121" customWidth="1"/>
    <col min="10523" max="10523" width="2.25" style="121" bestFit="1" customWidth="1"/>
    <col min="10524" max="10524" width="20.625" style="121" customWidth="1"/>
    <col min="10525" max="10525" width="2.25" style="121" bestFit="1" customWidth="1"/>
    <col min="10526" max="10526" width="20.625" style="121" customWidth="1"/>
    <col min="10527" max="10527" width="2.25" style="121" bestFit="1" customWidth="1"/>
    <col min="10528" max="10528" width="20.625" style="121" customWidth="1"/>
    <col min="10529" max="10529" width="2.25" style="121" bestFit="1" customWidth="1"/>
    <col min="10530" max="10530" width="20.625" style="121" customWidth="1"/>
    <col min="10531" max="10531" width="2.25" style="121" bestFit="1" customWidth="1"/>
    <col min="10532" max="10532" width="20.625" style="121" customWidth="1"/>
    <col min="10533" max="10533" width="2.25" style="121" bestFit="1" customWidth="1"/>
    <col min="10534" max="10534" width="20.625" style="121" customWidth="1"/>
    <col min="10535" max="10535" width="2.25" style="121" bestFit="1" customWidth="1"/>
    <col min="10536" max="10536" width="20.625" style="121" customWidth="1"/>
    <col min="10537" max="10537" width="2.25" style="121" bestFit="1" customWidth="1"/>
    <col min="10538" max="10538" width="20.625" style="121" customWidth="1"/>
    <col min="10539" max="10539" width="2.25" style="121" bestFit="1" customWidth="1"/>
    <col min="10540" max="10540" width="20.625" style="121" customWidth="1"/>
    <col min="10541" max="10541" width="2.25" style="121" bestFit="1" customWidth="1"/>
    <col min="10542" max="10542" width="20.625" style="121" customWidth="1"/>
    <col min="10543" max="10543" width="2.25" style="121" bestFit="1" customWidth="1"/>
    <col min="10544" max="10544" width="20.625" style="121" customWidth="1"/>
    <col min="10545" max="10545" width="2.25" style="121" bestFit="1" customWidth="1"/>
    <col min="10546" max="10546" width="20.625" style="121" customWidth="1"/>
    <col min="10547" max="10752" width="9" style="121"/>
    <col min="10753" max="10753" width="3.375" style="121" bestFit="1" customWidth="1"/>
    <col min="10754" max="10759" width="10.375" style="121" customWidth="1"/>
    <col min="10760" max="10762" width="11.625" style="121" customWidth="1"/>
    <col min="10763" max="10765" width="10.375" style="121" customWidth="1"/>
    <col min="10766" max="10777" width="5.875" style="121" customWidth="1"/>
    <col min="10778" max="10778" width="3.625" style="121" customWidth="1"/>
    <col min="10779" max="10779" width="2.25" style="121" bestFit="1" customWidth="1"/>
    <col min="10780" max="10780" width="20.625" style="121" customWidth="1"/>
    <col min="10781" max="10781" width="2.25" style="121" bestFit="1" customWidth="1"/>
    <col min="10782" max="10782" width="20.625" style="121" customWidth="1"/>
    <col min="10783" max="10783" width="2.25" style="121" bestFit="1" customWidth="1"/>
    <col min="10784" max="10784" width="20.625" style="121" customWidth="1"/>
    <col min="10785" max="10785" width="2.25" style="121" bestFit="1" customWidth="1"/>
    <col min="10786" max="10786" width="20.625" style="121" customWidth="1"/>
    <col min="10787" max="10787" width="2.25" style="121" bestFit="1" customWidth="1"/>
    <col min="10788" max="10788" width="20.625" style="121" customWidth="1"/>
    <col min="10789" max="10789" width="2.25" style="121" bestFit="1" customWidth="1"/>
    <col min="10790" max="10790" width="20.625" style="121" customWidth="1"/>
    <col min="10791" max="10791" width="2.25" style="121" bestFit="1" customWidth="1"/>
    <col min="10792" max="10792" width="20.625" style="121" customWidth="1"/>
    <col min="10793" max="10793" width="2.25" style="121" bestFit="1" customWidth="1"/>
    <col min="10794" max="10794" width="20.625" style="121" customWidth="1"/>
    <col min="10795" max="10795" width="2.25" style="121" bestFit="1" customWidth="1"/>
    <col min="10796" max="10796" width="20.625" style="121" customWidth="1"/>
    <col min="10797" max="10797" width="2.25" style="121" bestFit="1" customWidth="1"/>
    <col min="10798" max="10798" width="20.625" style="121" customWidth="1"/>
    <col min="10799" max="10799" width="2.25" style="121" bestFit="1" customWidth="1"/>
    <col min="10800" max="10800" width="20.625" style="121" customWidth="1"/>
    <col min="10801" max="10801" width="2.25" style="121" bestFit="1" customWidth="1"/>
    <col min="10802" max="10802" width="20.625" style="121" customWidth="1"/>
    <col min="10803" max="11008" width="9" style="121"/>
    <col min="11009" max="11009" width="3.375" style="121" bestFit="1" customWidth="1"/>
    <col min="11010" max="11015" width="10.375" style="121" customWidth="1"/>
    <col min="11016" max="11018" width="11.625" style="121" customWidth="1"/>
    <col min="11019" max="11021" width="10.375" style="121" customWidth="1"/>
    <col min="11022" max="11033" width="5.875" style="121" customWidth="1"/>
    <col min="11034" max="11034" width="3.625" style="121" customWidth="1"/>
    <col min="11035" max="11035" width="2.25" style="121" bestFit="1" customWidth="1"/>
    <col min="11036" max="11036" width="20.625" style="121" customWidth="1"/>
    <col min="11037" max="11037" width="2.25" style="121" bestFit="1" customWidth="1"/>
    <col min="11038" max="11038" width="20.625" style="121" customWidth="1"/>
    <col min="11039" max="11039" width="2.25" style="121" bestFit="1" customWidth="1"/>
    <col min="11040" max="11040" width="20.625" style="121" customWidth="1"/>
    <col min="11041" max="11041" width="2.25" style="121" bestFit="1" customWidth="1"/>
    <col min="11042" max="11042" width="20.625" style="121" customWidth="1"/>
    <col min="11043" max="11043" width="2.25" style="121" bestFit="1" customWidth="1"/>
    <col min="11044" max="11044" width="20.625" style="121" customWidth="1"/>
    <col min="11045" max="11045" width="2.25" style="121" bestFit="1" customWidth="1"/>
    <col min="11046" max="11046" width="20.625" style="121" customWidth="1"/>
    <col min="11047" max="11047" width="2.25" style="121" bestFit="1" customWidth="1"/>
    <col min="11048" max="11048" width="20.625" style="121" customWidth="1"/>
    <col min="11049" max="11049" width="2.25" style="121" bestFit="1" customWidth="1"/>
    <col min="11050" max="11050" width="20.625" style="121" customWidth="1"/>
    <col min="11051" max="11051" width="2.25" style="121" bestFit="1" customWidth="1"/>
    <col min="11052" max="11052" width="20.625" style="121" customWidth="1"/>
    <col min="11053" max="11053" width="2.25" style="121" bestFit="1" customWidth="1"/>
    <col min="11054" max="11054" width="20.625" style="121" customWidth="1"/>
    <col min="11055" max="11055" width="2.25" style="121" bestFit="1" customWidth="1"/>
    <col min="11056" max="11056" width="20.625" style="121" customWidth="1"/>
    <col min="11057" max="11057" width="2.25" style="121" bestFit="1" customWidth="1"/>
    <col min="11058" max="11058" width="20.625" style="121" customWidth="1"/>
    <col min="11059" max="11264" width="9" style="121"/>
    <col min="11265" max="11265" width="3.375" style="121" bestFit="1" customWidth="1"/>
    <col min="11266" max="11271" width="10.375" style="121" customWidth="1"/>
    <col min="11272" max="11274" width="11.625" style="121" customWidth="1"/>
    <col min="11275" max="11277" width="10.375" style="121" customWidth="1"/>
    <col min="11278" max="11289" width="5.875" style="121" customWidth="1"/>
    <col min="11290" max="11290" width="3.625" style="121" customWidth="1"/>
    <col min="11291" max="11291" width="2.25" style="121" bestFit="1" customWidth="1"/>
    <col min="11292" max="11292" width="20.625" style="121" customWidth="1"/>
    <col min="11293" max="11293" width="2.25" style="121" bestFit="1" customWidth="1"/>
    <col min="11294" max="11294" width="20.625" style="121" customWidth="1"/>
    <col min="11295" max="11295" width="2.25" style="121" bestFit="1" customWidth="1"/>
    <col min="11296" max="11296" width="20.625" style="121" customWidth="1"/>
    <col min="11297" max="11297" width="2.25" style="121" bestFit="1" customWidth="1"/>
    <col min="11298" max="11298" width="20.625" style="121" customWidth="1"/>
    <col min="11299" max="11299" width="2.25" style="121" bestFit="1" customWidth="1"/>
    <col min="11300" max="11300" width="20.625" style="121" customWidth="1"/>
    <col min="11301" max="11301" width="2.25" style="121" bestFit="1" customWidth="1"/>
    <col min="11302" max="11302" width="20.625" style="121" customWidth="1"/>
    <col min="11303" max="11303" width="2.25" style="121" bestFit="1" customWidth="1"/>
    <col min="11304" max="11304" width="20.625" style="121" customWidth="1"/>
    <col min="11305" max="11305" width="2.25" style="121" bestFit="1" customWidth="1"/>
    <col min="11306" max="11306" width="20.625" style="121" customWidth="1"/>
    <col min="11307" max="11307" width="2.25" style="121" bestFit="1" customWidth="1"/>
    <col min="11308" max="11308" width="20.625" style="121" customWidth="1"/>
    <col min="11309" max="11309" width="2.25" style="121" bestFit="1" customWidth="1"/>
    <col min="11310" max="11310" width="20.625" style="121" customWidth="1"/>
    <col min="11311" max="11311" width="2.25" style="121" bestFit="1" customWidth="1"/>
    <col min="11312" max="11312" width="20.625" style="121" customWidth="1"/>
    <col min="11313" max="11313" width="2.25" style="121" bestFit="1" customWidth="1"/>
    <col min="11314" max="11314" width="20.625" style="121" customWidth="1"/>
    <col min="11315" max="11520" width="9" style="121"/>
    <col min="11521" max="11521" width="3.375" style="121" bestFit="1" customWidth="1"/>
    <col min="11522" max="11527" width="10.375" style="121" customWidth="1"/>
    <col min="11528" max="11530" width="11.625" style="121" customWidth="1"/>
    <col min="11531" max="11533" width="10.375" style="121" customWidth="1"/>
    <col min="11534" max="11545" width="5.875" style="121" customWidth="1"/>
    <col min="11546" max="11546" width="3.625" style="121" customWidth="1"/>
    <col min="11547" max="11547" width="2.25" style="121" bestFit="1" customWidth="1"/>
    <col min="11548" max="11548" width="20.625" style="121" customWidth="1"/>
    <col min="11549" max="11549" width="2.25" style="121" bestFit="1" customWidth="1"/>
    <col min="11550" max="11550" width="20.625" style="121" customWidth="1"/>
    <col min="11551" max="11551" width="2.25" style="121" bestFit="1" customWidth="1"/>
    <col min="11552" max="11552" width="20.625" style="121" customWidth="1"/>
    <col min="11553" max="11553" width="2.25" style="121" bestFit="1" customWidth="1"/>
    <col min="11554" max="11554" width="20.625" style="121" customWidth="1"/>
    <col min="11555" max="11555" width="2.25" style="121" bestFit="1" customWidth="1"/>
    <col min="11556" max="11556" width="20.625" style="121" customWidth="1"/>
    <col min="11557" max="11557" width="2.25" style="121" bestFit="1" customWidth="1"/>
    <col min="11558" max="11558" width="20.625" style="121" customWidth="1"/>
    <col min="11559" max="11559" width="2.25" style="121" bestFit="1" customWidth="1"/>
    <col min="11560" max="11560" width="20.625" style="121" customWidth="1"/>
    <col min="11561" max="11561" width="2.25" style="121" bestFit="1" customWidth="1"/>
    <col min="11562" max="11562" width="20.625" style="121" customWidth="1"/>
    <col min="11563" max="11563" width="2.25" style="121" bestFit="1" customWidth="1"/>
    <col min="11564" max="11564" width="20.625" style="121" customWidth="1"/>
    <col min="11565" max="11565" width="2.25" style="121" bestFit="1" customWidth="1"/>
    <col min="11566" max="11566" width="20.625" style="121" customWidth="1"/>
    <col min="11567" max="11567" width="2.25" style="121" bestFit="1" customWidth="1"/>
    <col min="11568" max="11568" width="20.625" style="121" customWidth="1"/>
    <col min="11569" max="11569" width="2.25" style="121" bestFit="1" customWidth="1"/>
    <col min="11570" max="11570" width="20.625" style="121" customWidth="1"/>
    <col min="11571" max="11776" width="9" style="121"/>
    <col min="11777" max="11777" width="3.375" style="121" bestFit="1" customWidth="1"/>
    <col min="11778" max="11783" width="10.375" style="121" customWidth="1"/>
    <col min="11784" max="11786" width="11.625" style="121" customWidth="1"/>
    <col min="11787" max="11789" width="10.375" style="121" customWidth="1"/>
    <col min="11790" max="11801" width="5.875" style="121" customWidth="1"/>
    <col min="11802" max="11802" width="3.625" style="121" customWidth="1"/>
    <col min="11803" max="11803" width="2.25" style="121" bestFit="1" customWidth="1"/>
    <col min="11804" max="11804" width="20.625" style="121" customWidth="1"/>
    <col min="11805" max="11805" width="2.25" style="121" bestFit="1" customWidth="1"/>
    <col min="11806" max="11806" width="20.625" style="121" customWidth="1"/>
    <col min="11807" max="11807" width="2.25" style="121" bestFit="1" customWidth="1"/>
    <col min="11808" max="11808" width="20.625" style="121" customWidth="1"/>
    <col min="11809" max="11809" width="2.25" style="121" bestFit="1" customWidth="1"/>
    <col min="11810" max="11810" width="20.625" style="121" customWidth="1"/>
    <col min="11811" max="11811" width="2.25" style="121" bestFit="1" customWidth="1"/>
    <col min="11812" max="11812" width="20.625" style="121" customWidth="1"/>
    <col min="11813" max="11813" width="2.25" style="121" bestFit="1" customWidth="1"/>
    <col min="11814" max="11814" width="20.625" style="121" customWidth="1"/>
    <col min="11815" max="11815" width="2.25" style="121" bestFit="1" customWidth="1"/>
    <col min="11816" max="11816" width="20.625" style="121" customWidth="1"/>
    <col min="11817" max="11817" width="2.25" style="121" bestFit="1" customWidth="1"/>
    <col min="11818" max="11818" width="20.625" style="121" customWidth="1"/>
    <col min="11819" max="11819" width="2.25" style="121" bestFit="1" customWidth="1"/>
    <col min="11820" max="11820" width="20.625" style="121" customWidth="1"/>
    <col min="11821" max="11821" width="2.25" style="121" bestFit="1" customWidth="1"/>
    <col min="11822" max="11822" width="20.625" style="121" customWidth="1"/>
    <col min="11823" max="11823" width="2.25" style="121" bestFit="1" customWidth="1"/>
    <col min="11824" max="11824" width="20.625" style="121" customWidth="1"/>
    <col min="11825" max="11825" width="2.25" style="121" bestFit="1" customWidth="1"/>
    <col min="11826" max="11826" width="20.625" style="121" customWidth="1"/>
    <col min="11827" max="12032" width="9" style="121"/>
    <col min="12033" max="12033" width="3.375" style="121" bestFit="1" customWidth="1"/>
    <col min="12034" max="12039" width="10.375" style="121" customWidth="1"/>
    <col min="12040" max="12042" width="11.625" style="121" customWidth="1"/>
    <col min="12043" max="12045" width="10.375" style="121" customWidth="1"/>
    <col min="12046" max="12057" width="5.875" style="121" customWidth="1"/>
    <col min="12058" max="12058" width="3.625" style="121" customWidth="1"/>
    <col min="12059" max="12059" width="2.25" style="121" bestFit="1" customWidth="1"/>
    <col min="12060" max="12060" width="20.625" style="121" customWidth="1"/>
    <col min="12061" max="12061" width="2.25" style="121" bestFit="1" customWidth="1"/>
    <col min="12062" max="12062" width="20.625" style="121" customWidth="1"/>
    <col min="12063" max="12063" width="2.25" style="121" bestFit="1" customWidth="1"/>
    <col min="12064" max="12064" width="20.625" style="121" customWidth="1"/>
    <col min="12065" max="12065" width="2.25" style="121" bestFit="1" customWidth="1"/>
    <col min="12066" max="12066" width="20.625" style="121" customWidth="1"/>
    <col min="12067" max="12067" width="2.25" style="121" bestFit="1" customWidth="1"/>
    <col min="12068" max="12068" width="20.625" style="121" customWidth="1"/>
    <col min="12069" max="12069" width="2.25" style="121" bestFit="1" customWidth="1"/>
    <col min="12070" max="12070" width="20.625" style="121" customWidth="1"/>
    <col min="12071" max="12071" width="2.25" style="121" bestFit="1" customWidth="1"/>
    <col min="12072" max="12072" width="20.625" style="121" customWidth="1"/>
    <col min="12073" max="12073" width="2.25" style="121" bestFit="1" customWidth="1"/>
    <col min="12074" max="12074" width="20.625" style="121" customWidth="1"/>
    <col min="12075" max="12075" width="2.25" style="121" bestFit="1" customWidth="1"/>
    <col min="12076" max="12076" width="20.625" style="121" customWidth="1"/>
    <col min="12077" max="12077" width="2.25" style="121" bestFit="1" customWidth="1"/>
    <col min="12078" max="12078" width="20.625" style="121" customWidth="1"/>
    <col min="12079" max="12079" width="2.25" style="121" bestFit="1" customWidth="1"/>
    <col min="12080" max="12080" width="20.625" style="121" customWidth="1"/>
    <col min="12081" max="12081" width="2.25" style="121" bestFit="1" customWidth="1"/>
    <col min="12082" max="12082" width="20.625" style="121" customWidth="1"/>
    <col min="12083" max="12288" width="9" style="121"/>
    <col min="12289" max="12289" width="3.375" style="121" bestFit="1" customWidth="1"/>
    <col min="12290" max="12295" width="10.375" style="121" customWidth="1"/>
    <col min="12296" max="12298" width="11.625" style="121" customWidth="1"/>
    <col min="12299" max="12301" width="10.375" style="121" customWidth="1"/>
    <col min="12302" max="12313" width="5.875" style="121" customWidth="1"/>
    <col min="12314" max="12314" width="3.625" style="121" customWidth="1"/>
    <col min="12315" max="12315" width="2.25" style="121" bestFit="1" customWidth="1"/>
    <col min="12316" max="12316" width="20.625" style="121" customWidth="1"/>
    <col min="12317" max="12317" width="2.25" style="121" bestFit="1" customWidth="1"/>
    <col min="12318" max="12318" width="20.625" style="121" customWidth="1"/>
    <col min="12319" max="12319" width="2.25" style="121" bestFit="1" customWidth="1"/>
    <col min="12320" max="12320" width="20.625" style="121" customWidth="1"/>
    <col min="12321" max="12321" width="2.25" style="121" bestFit="1" customWidth="1"/>
    <col min="12322" max="12322" width="20.625" style="121" customWidth="1"/>
    <col min="12323" max="12323" width="2.25" style="121" bestFit="1" customWidth="1"/>
    <col min="12324" max="12324" width="20.625" style="121" customWidth="1"/>
    <col min="12325" max="12325" width="2.25" style="121" bestFit="1" customWidth="1"/>
    <col min="12326" max="12326" width="20.625" style="121" customWidth="1"/>
    <col min="12327" max="12327" width="2.25" style="121" bestFit="1" customWidth="1"/>
    <col min="12328" max="12328" width="20.625" style="121" customWidth="1"/>
    <col min="12329" max="12329" width="2.25" style="121" bestFit="1" customWidth="1"/>
    <col min="12330" max="12330" width="20.625" style="121" customWidth="1"/>
    <col min="12331" max="12331" width="2.25" style="121" bestFit="1" customWidth="1"/>
    <col min="12332" max="12332" width="20.625" style="121" customWidth="1"/>
    <col min="12333" max="12333" width="2.25" style="121" bestFit="1" customWidth="1"/>
    <col min="12334" max="12334" width="20.625" style="121" customWidth="1"/>
    <col min="12335" max="12335" width="2.25" style="121" bestFit="1" customWidth="1"/>
    <col min="12336" max="12336" width="20.625" style="121" customWidth="1"/>
    <col min="12337" max="12337" width="2.25" style="121" bestFit="1" customWidth="1"/>
    <col min="12338" max="12338" width="20.625" style="121" customWidth="1"/>
    <col min="12339" max="12544" width="9" style="121"/>
    <col min="12545" max="12545" width="3.375" style="121" bestFit="1" customWidth="1"/>
    <col min="12546" max="12551" width="10.375" style="121" customWidth="1"/>
    <col min="12552" max="12554" width="11.625" style="121" customWidth="1"/>
    <col min="12555" max="12557" width="10.375" style="121" customWidth="1"/>
    <col min="12558" max="12569" width="5.875" style="121" customWidth="1"/>
    <col min="12570" max="12570" width="3.625" style="121" customWidth="1"/>
    <col min="12571" max="12571" width="2.25" style="121" bestFit="1" customWidth="1"/>
    <col min="12572" max="12572" width="20.625" style="121" customWidth="1"/>
    <col min="12573" max="12573" width="2.25" style="121" bestFit="1" customWidth="1"/>
    <col min="12574" max="12574" width="20.625" style="121" customWidth="1"/>
    <col min="12575" max="12575" width="2.25" style="121" bestFit="1" customWidth="1"/>
    <col min="12576" max="12576" width="20.625" style="121" customWidth="1"/>
    <col min="12577" max="12577" width="2.25" style="121" bestFit="1" customWidth="1"/>
    <col min="12578" max="12578" width="20.625" style="121" customWidth="1"/>
    <col min="12579" max="12579" width="2.25" style="121" bestFit="1" customWidth="1"/>
    <col min="12580" max="12580" width="20.625" style="121" customWidth="1"/>
    <col min="12581" max="12581" width="2.25" style="121" bestFit="1" customWidth="1"/>
    <col min="12582" max="12582" width="20.625" style="121" customWidth="1"/>
    <col min="12583" max="12583" width="2.25" style="121" bestFit="1" customWidth="1"/>
    <col min="12584" max="12584" width="20.625" style="121" customWidth="1"/>
    <col min="12585" max="12585" width="2.25" style="121" bestFit="1" customWidth="1"/>
    <col min="12586" max="12586" width="20.625" style="121" customWidth="1"/>
    <col min="12587" max="12587" width="2.25" style="121" bestFit="1" customWidth="1"/>
    <col min="12588" max="12588" width="20.625" style="121" customWidth="1"/>
    <col min="12589" max="12589" width="2.25" style="121" bestFit="1" customWidth="1"/>
    <col min="12590" max="12590" width="20.625" style="121" customWidth="1"/>
    <col min="12591" max="12591" width="2.25" style="121" bestFit="1" customWidth="1"/>
    <col min="12592" max="12592" width="20.625" style="121" customWidth="1"/>
    <col min="12593" max="12593" width="2.25" style="121" bestFit="1" customWidth="1"/>
    <col min="12594" max="12594" width="20.625" style="121" customWidth="1"/>
    <col min="12595" max="12800" width="9" style="121"/>
    <col min="12801" max="12801" width="3.375" style="121" bestFit="1" customWidth="1"/>
    <col min="12802" max="12807" width="10.375" style="121" customWidth="1"/>
    <col min="12808" max="12810" width="11.625" style="121" customWidth="1"/>
    <col min="12811" max="12813" width="10.375" style="121" customWidth="1"/>
    <col min="12814" max="12825" width="5.875" style="121" customWidth="1"/>
    <col min="12826" max="12826" width="3.625" style="121" customWidth="1"/>
    <col min="12827" max="12827" width="2.25" style="121" bestFit="1" customWidth="1"/>
    <col min="12828" max="12828" width="20.625" style="121" customWidth="1"/>
    <col min="12829" max="12829" width="2.25" style="121" bestFit="1" customWidth="1"/>
    <col min="12830" max="12830" width="20.625" style="121" customWidth="1"/>
    <col min="12831" max="12831" width="2.25" style="121" bestFit="1" customWidth="1"/>
    <col min="12832" max="12832" width="20.625" style="121" customWidth="1"/>
    <col min="12833" max="12833" width="2.25" style="121" bestFit="1" customWidth="1"/>
    <col min="12834" max="12834" width="20.625" style="121" customWidth="1"/>
    <col min="12835" max="12835" width="2.25" style="121" bestFit="1" customWidth="1"/>
    <col min="12836" max="12836" width="20.625" style="121" customWidth="1"/>
    <col min="12837" max="12837" width="2.25" style="121" bestFit="1" customWidth="1"/>
    <col min="12838" max="12838" width="20.625" style="121" customWidth="1"/>
    <col min="12839" max="12839" width="2.25" style="121" bestFit="1" customWidth="1"/>
    <col min="12840" max="12840" width="20.625" style="121" customWidth="1"/>
    <col min="12841" max="12841" width="2.25" style="121" bestFit="1" customWidth="1"/>
    <col min="12842" max="12842" width="20.625" style="121" customWidth="1"/>
    <col min="12843" max="12843" width="2.25" style="121" bestFit="1" customWidth="1"/>
    <col min="12844" max="12844" width="20.625" style="121" customWidth="1"/>
    <col min="12845" max="12845" width="2.25" style="121" bestFit="1" customWidth="1"/>
    <col min="12846" max="12846" width="20.625" style="121" customWidth="1"/>
    <col min="12847" max="12847" width="2.25" style="121" bestFit="1" customWidth="1"/>
    <col min="12848" max="12848" width="20.625" style="121" customWidth="1"/>
    <col min="12849" max="12849" width="2.25" style="121" bestFit="1" customWidth="1"/>
    <col min="12850" max="12850" width="20.625" style="121" customWidth="1"/>
    <col min="12851" max="13056" width="9" style="121"/>
    <col min="13057" max="13057" width="3.375" style="121" bestFit="1" customWidth="1"/>
    <col min="13058" max="13063" width="10.375" style="121" customWidth="1"/>
    <col min="13064" max="13066" width="11.625" style="121" customWidth="1"/>
    <col min="13067" max="13069" width="10.375" style="121" customWidth="1"/>
    <col min="13070" max="13081" width="5.875" style="121" customWidth="1"/>
    <col min="13082" max="13082" width="3.625" style="121" customWidth="1"/>
    <col min="13083" max="13083" width="2.25" style="121" bestFit="1" customWidth="1"/>
    <col min="13084" max="13084" width="20.625" style="121" customWidth="1"/>
    <col min="13085" max="13085" width="2.25" style="121" bestFit="1" customWidth="1"/>
    <col min="13086" max="13086" width="20.625" style="121" customWidth="1"/>
    <col min="13087" max="13087" width="2.25" style="121" bestFit="1" customWidth="1"/>
    <col min="13088" max="13088" width="20.625" style="121" customWidth="1"/>
    <col min="13089" max="13089" width="2.25" style="121" bestFit="1" customWidth="1"/>
    <col min="13090" max="13090" width="20.625" style="121" customWidth="1"/>
    <col min="13091" max="13091" width="2.25" style="121" bestFit="1" customWidth="1"/>
    <col min="13092" max="13092" width="20.625" style="121" customWidth="1"/>
    <col min="13093" max="13093" width="2.25" style="121" bestFit="1" customWidth="1"/>
    <col min="13094" max="13094" width="20.625" style="121" customWidth="1"/>
    <col min="13095" max="13095" width="2.25" style="121" bestFit="1" customWidth="1"/>
    <col min="13096" max="13096" width="20.625" style="121" customWidth="1"/>
    <col min="13097" max="13097" width="2.25" style="121" bestFit="1" customWidth="1"/>
    <col min="13098" max="13098" width="20.625" style="121" customWidth="1"/>
    <col min="13099" max="13099" width="2.25" style="121" bestFit="1" customWidth="1"/>
    <col min="13100" max="13100" width="20.625" style="121" customWidth="1"/>
    <col min="13101" max="13101" width="2.25" style="121" bestFit="1" customWidth="1"/>
    <col min="13102" max="13102" width="20.625" style="121" customWidth="1"/>
    <col min="13103" max="13103" width="2.25" style="121" bestFit="1" customWidth="1"/>
    <col min="13104" max="13104" width="20.625" style="121" customWidth="1"/>
    <col min="13105" max="13105" width="2.25" style="121" bestFit="1" customWidth="1"/>
    <col min="13106" max="13106" width="20.625" style="121" customWidth="1"/>
    <col min="13107" max="13312" width="9" style="121"/>
    <col min="13313" max="13313" width="3.375" style="121" bestFit="1" customWidth="1"/>
    <col min="13314" max="13319" width="10.375" style="121" customWidth="1"/>
    <col min="13320" max="13322" width="11.625" style="121" customWidth="1"/>
    <col min="13323" max="13325" width="10.375" style="121" customWidth="1"/>
    <col min="13326" max="13337" width="5.875" style="121" customWidth="1"/>
    <col min="13338" max="13338" width="3.625" style="121" customWidth="1"/>
    <col min="13339" max="13339" width="2.25" style="121" bestFit="1" customWidth="1"/>
    <col min="13340" max="13340" width="20.625" style="121" customWidth="1"/>
    <col min="13341" max="13341" width="2.25" style="121" bestFit="1" customWidth="1"/>
    <col min="13342" max="13342" width="20.625" style="121" customWidth="1"/>
    <col min="13343" max="13343" width="2.25" style="121" bestFit="1" customWidth="1"/>
    <col min="13344" max="13344" width="20.625" style="121" customWidth="1"/>
    <col min="13345" max="13345" width="2.25" style="121" bestFit="1" customWidth="1"/>
    <col min="13346" max="13346" width="20.625" style="121" customWidth="1"/>
    <col min="13347" max="13347" width="2.25" style="121" bestFit="1" customWidth="1"/>
    <col min="13348" max="13348" width="20.625" style="121" customWidth="1"/>
    <col min="13349" max="13349" width="2.25" style="121" bestFit="1" customWidth="1"/>
    <col min="13350" max="13350" width="20.625" style="121" customWidth="1"/>
    <col min="13351" max="13351" width="2.25" style="121" bestFit="1" customWidth="1"/>
    <col min="13352" max="13352" width="20.625" style="121" customWidth="1"/>
    <col min="13353" max="13353" width="2.25" style="121" bestFit="1" customWidth="1"/>
    <col min="13354" max="13354" width="20.625" style="121" customWidth="1"/>
    <col min="13355" max="13355" width="2.25" style="121" bestFit="1" customWidth="1"/>
    <col min="13356" max="13356" width="20.625" style="121" customWidth="1"/>
    <col min="13357" max="13357" width="2.25" style="121" bestFit="1" customWidth="1"/>
    <col min="13358" max="13358" width="20.625" style="121" customWidth="1"/>
    <col min="13359" max="13359" width="2.25" style="121" bestFit="1" customWidth="1"/>
    <col min="13360" max="13360" width="20.625" style="121" customWidth="1"/>
    <col min="13361" max="13361" width="2.25" style="121" bestFit="1" customWidth="1"/>
    <col min="13362" max="13362" width="20.625" style="121" customWidth="1"/>
    <col min="13363" max="13568" width="9" style="121"/>
    <col min="13569" max="13569" width="3.375" style="121" bestFit="1" customWidth="1"/>
    <col min="13570" max="13575" width="10.375" style="121" customWidth="1"/>
    <col min="13576" max="13578" width="11.625" style="121" customWidth="1"/>
    <col min="13579" max="13581" width="10.375" style="121" customWidth="1"/>
    <col min="13582" max="13593" width="5.875" style="121" customWidth="1"/>
    <col min="13594" max="13594" width="3.625" style="121" customWidth="1"/>
    <col min="13595" max="13595" width="2.25" style="121" bestFit="1" customWidth="1"/>
    <col min="13596" max="13596" width="20.625" style="121" customWidth="1"/>
    <col min="13597" max="13597" width="2.25" style="121" bestFit="1" customWidth="1"/>
    <col min="13598" max="13598" width="20.625" style="121" customWidth="1"/>
    <col min="13599" max="13599" width="2.25" style="121" bestFit="1" customWidth="1"/>
    <col min="13600" max="13600" width="20.625" style="121" customWidth="1"/>
    <col min="13601" max="13601" width="2.25" style="121" bestFit="1" customWidth="1"/>
    <col min="13602" max="13602" width="20.625" style="121" customWidth="1"/>
    <col min="13603" max="13603" width="2.25" style="121" bestFit="1" customWidth="1"/>
    <col min="13604" max="13604" width="20.625" style="121" customWidth="1"/>
    <col min="13605" max="13605" width="2.25" style="121" bestFit="1" customWidth="1"/>
    <col min="13606" max="13606" width="20.625" style="121" customWidth="1"/>
    <col min="13607" max="13607" width="2.25" style="121" bestFit="1" customWidth="1"/>
    <col min="13608" max="13608" width="20.625" style="121" customWidth="1"/>
    <col min="13609" max="13609" width="2.25" style="121" bestFit="1" customWidth="1"/>
    <col min="13610" max="13610" width="20.625" style="121" customWidth="1"/>
    <col min="13611" max="13611" width="2.25" style="121" bestFit="1" customWidth="1"/>
    <col min="13612" max="13612" width="20.625" style="121" customWidth="1"/>
    <col min="13613" max="13613" width="2.25" style="121" bestFit="1" customWidth="1"/>
    <col min="13614" max="13614" width="20.625" style="121" customWidth="1"/>
    <col min="13615" max="13615" width="2.25" style="121" bestFit="1" customWidth="1"/>
    <col min="13616" max="13616" width="20.625" style="121" customWidth="1"/>
    <col min="13617" max="13617" width="2.25" style="121" bestFit="1" customWidth="1"/>
    <col min="13618" max="13618" width="20.625" style="121" customWidth="1"/>
    <col min="13619" max="13824" width="9" style="121"/>
    <col min="13825" max="13825" width="3.375" style="121" bestFit="1" customWidth="1"/>
    <col min="13826" max="13831" width="10.375" style="121" customWidth="1"/>
    <col min="13832" max="13834" width="11.625" style="121" customWidth="1"/>
    <col min="13835" max="13837" width="10.375" style="121" customWidth="1"/>
    <col min="13838" max="13849" width="5.875" style="121" customWidth="1"/>
    <col min="13850" max="13850" width="3.625" style="121" customWidth="1"/>
    <col min="13851" max="13851" width="2.25" style="121" bestFit="1" customWidth="1"/>
    <col min="13852" max="13852" width="20.625" style="121" customWidth="1"/>
    <col min="13853" max="13853" width="2.25" style="121" bestFit="1" customWidth="1"/>
    <col min="13854" max="13854" width="20.625" style="121" customWidth="1"/>
    <col min="13855" max="13855" width="2.25" style="121" bestFit="1" customWidth="1"/>
    <col min="13856" max="13856" width="20.625" style="121" customWidth="1"/>
    <col min="13857" max="13857" width="2.25" style="121" bestFit="1" customWidth="1"/>
    <col min="13858" max="13858" width="20.625" style="121" customWidth="1"/>
    <col min="13859" max="13859" width="2.25" style="121" bestFit="1" customWidth="1"/>
    <col min="13860" max="13860" width="20.625" style="121" customWidth="1"/>
    <col min="13861" max="13861" width="2.25" style="121" bestFit="1" customWidth="1"/>
    <col min="13862" max="13862" width="20.625" style="121" customWidth="1"/>
    <col min="13863" max="13863" width="2.25" style="121" bestFit="1" customWidth="1"/>
    <col min="13864" max="13864" width="20.625" style="121" customWidth="1"/>
    <col min="13865" max="13865" width="2.25" style="121" bestFit="1" customWidth="1"/>
    <col min="13866" max="13866" width="20.625" style="121" customWidth="1"/>
    <col min="13867" max="13867" width="2.25" style="121" bestFit="1" customWidth="1"/>
    <col min="13868" max="13868" width="20.625" style="121" customWidth="1"/>
    <col min="13869" max="13869" width="2.25" style="121" bestFit="1" customWidth="1"/>
    <col min="13870" max="13870" width="20.625" style="121" customWidth="1"/>
    <col min="13871" max="13871" width="2.25" style="121" bestFit="1" customWidth="1"/>
    <col min="13872" max="13872" width="20.625" style="121" customWidth="1"/>
    <col min="13873" max="13873" width="2.25" style="121" bestFit="1" customWidth="1"/>
    <col min="13874" max="13874" width="20.625" style="121" customWidth="1"/>
    <col min="13875" max="14080" width="9" style="121"/>
    <col min="14081" max="14081" width="3.375" style="121" bestFit="1" customWidth="1"/>
    <col min="14082" max="14087" width="10.375" style="121" customWidth="1"/>
    <col min="14088" max="14090" width="11.625" style="121" customWidth="1"/>
    <col min="14091" max="14093" width="10.375" style="121" customWidth="1"/>
    <col min="14094" max="14105" width="5.875" style="121" customWidth="1"/>
    <col min="14106" max="14106" width="3.625" style="121" customWidth="1"/>
    <col min="14107" max="14107" width="2.25" style="121" bestFit="1" customWidth="1"/>
    <col min="14108" max="14108" width="20.625" style="121" customWidth="1"/>
    <col min="14109" max="14109" width="2.25" style="121" bestFit="1" customWidth="1"/>
    <col min="14110" max="14110" width="20.625" style="121" customWidth="1"/>
    <col min="14111" max="14111" width="2.25" style="121" bestFit="1" customWidth="1"/>
    <col min="14112" max="14112" width="20.625" style="121" customWidth="1"/>
    <col min="14113" max="14113" width="2.25" style="121" bestFit="1" customWidth="1"/>
    <col min="14114" max="14114" width="20.625" style="121" customWidth="1"/>
    <col min="14115" max="14115" width="2.25" style="121" bestFit="1" customWidth="1"/>
    <col min="14116" max="14116" width="20.625" style="121" customWidth="1"/>
    <col min="14117" max="14117" width="2.25" style="121" bestFit="1" customWidth="1"/>
    <col min="14118" max="14118" width="20.625" style="121" customWidth="1"/>
    <col min="14119" max="14119" width="2.25" style="121" bestFit="1" customWidth="1"/>
    <col min="14120" max="14120" width="20.625" style="121" customWidth="1"/>
    <col min="14121" max="14121" width="2.25" style="121" bestFit="1" customWidth="1"/>
    <col min="14122" max="14122" width="20.625" style="121" customWidth="1"/>
    <col min="14123" max="14123" width="2.25" style="121" bestFit="1" customWidth="1"/>
    <col min="14124" max="14124" width="20.625" style="121" customWidth="1"/>
    <col min="14125" max="14125" width="2.25" style="121" bestFit="1" customWidth="1"/>
    <col min="14126" max="14126" width="20.625" style="121" customWidth="1"/>
    <col min="14127" max="14127" width="2.25" style="121" bestFit="1" customWidth="1"/>
    <col min="14128" max="14128" width="20.625" style="121" customWidth="1"/>
    <col min="14129" max="14129" width="2.25" style="121" bestFit="1" customWidth="1"/>
    <col min="14130" max="14130" width="20.625" style="121" customWidth="1"/>
    <col min="14131" max="14336" width="9" style="121"/>
    <col min="14337" max="14337" width="3.375" style="121" bestFit="1" customWidth="1"/>
    <col min="14338" max="14343" width="10.375" style="121" customWidth="1"/>
    <col min="14344" max="14346" width="11.625" style="121" customWidth="1"/>
    <col min="14347" max="14349" width="10.375" style="121" customWidth="1"/>
    <col min="14350" max="14361" width="5.875" style="121" customWidth="1"/>
    <col min="14362" max="14362" width="3.625" style="121" customWidth="1"/>
    <col min="14363" max="14363" width="2.25" style="121" bestFit="1" customWidth="1"/>
    <col min="14364" max="14364" width="20.625" style="121" customWidth="1"/>
    <col min="14365" max="14365" width="2.25" style="121" bestFit="1" customWidth="1"/>
    <col min="14366" max="14366" width="20.625" style="121" customWidth="1"/>
    <col min="14367" max="14367" width="2.25" style="121" bestFit="1" customWidth="1"/>
    <col min="14368" max="14368" width="20.625" style="121" customWidth="1"/>
    <col min="14369" max="14369" width="2.25" style="121" bestFit="1" customWidth="1"/>
    <col min="14370" max="14370" width="20.625" style="121" customWidth="1"/>
    <col min="14371" max="14371" width="2.25" style="121" bestFit="1" customWidth="1"/>
    <col min="14372" max="14372" width="20.625" style="121" customWidth="1"/>
    <col min="14373" max="14373" width="2.25" style="121" bestFit="1" customWidth="1"/>
    <col min="14374" max="14374" width="20.625" style="121" customWidth="1"/>
    <col min="14375" max="14375" width="2.25" style="121" bestFit="1" customWidth="1"/>
    <col min="14376" max="14376" width="20.625" style="121" customWidth="1"/>
    <col min="14377" max="14377" width="2.25" style="121" bestFit="1" customWidth="1"/>
    <col min="14378" max="14378" width="20.625" style="121" customWidth="1"/>
    <col min="14379" max="14379" width="2.25" style="121" bestFit="1" customWidth="1"/>
    <col min="14380" max="14380" width="20.625" style="121" customWidth="1"/>
    <col min="14381" max="14381" width="2.25" style="121" bestFit="1" customWidth="1"/>
    <col min="14382" max="14382" width="20.625" style="121" customWidth="1"/>
    <col min="14383" max="14383" width="2.25" style="121" bestFit="1" customWidth="1"/>
    <col min="14384" max="14384" width="20.625" style="121" customWidth="1"/>
    <col min="14385" max="14385" width="2.25" style="121" bestFit="1" customWidth="1"/>
    <col min="14386" max="14386" width="20.625" style="121" customWidth="1"/>
    <col min="14387" max="14592" width="9" style="121"/>
    <col min="14593" max="14593" width="3.375" style="121" bestFit="1" customWidth="1"/>
    <col min="14594" max="14599" width="10.375" style="121" customWidth="1"/>
    <col min="14600" max="14602" width="11.625" style="121" customWidth="1"/>
    <col min="14603" max="14605" width="10.375" style="121" customWidth="1"/>
    <col min="14606" max="14617" width="5.875" style="121" customWidth="1"/>
    <col min="14618" max="14618" width="3.625" style="121" customWidth="1"/>
    <col min="14619" max="14619" width="2.25" style="121" bestFit="1" customWidth="1"/>
    <col min="14620" max="14620" width="20.625" style="121" customWidth="1"/>
    <col min="14621" max="14621" width="2.25" style="121" bestFit="1" customWidth="1"/>
    <col min="14622" max="14622" width="20.625" style="121" customWidth="1"/>
    <col min="14623" max="14623" width="2.25" style="121" bestFit="1" customWidth="1"/>
    <col min="14624" max="14624" width="20.625" style="121" customWidth="1"/>
    <col min="14625" max="14625" width="2.25" style="121" bestFit="1" customWidth="1"/>
    <col min="14626" max="14626" width="20.625" style="121" customWidth="1"/>
    <col min="14627" max="14627" width="2.25" style="121" bestFit="1" customWidth="1"/>
    <col min="14628" max="14628" width="20.625" style="121" customWidth="1"/>
    <col min="14629" max="14629" width="2.25" style="121" bestFit="1" customWidth="1"/>
    <col min="14630" max="14630" width="20.625" style="121" customWidth="1"/>
    <col min="14631" max="14631" width="2.25" style="121" bestFit="1" customWidth="1"/>
    <col min="14632" max="14632" width="20.625" style="121" customWidth="1"/>
    <col min="14633" max="14633" width="2.25" style="121" bestFit="1" customWidth="1"/>
    <col min="14634" max="14634" width="20.625" style="121" customWidth="1"/>
    <col min="14635" max="14635" width="2.25" style="121" bestFit="1" customWidth="1"/>
    <col min="14636" max="14636" width="20.625" style="121" customWidth="1"/>
    <col min="14637" max="14637" width="2.25" style="121" bestFit="1" customWidth="1"/>
    <col min="14638" max="14638" width="20.625" style="121" customWidth="1"/>
    <col min="14639" max="14639" width="2.25" style="121" bestFit="1" customWidth="1"/>
    <col min="14640" max="14640" width="20.625" style="121" customWidth="1"/>
    <col min="14641" max="14641" width="2.25" style="121" bestFit="1" customWidth="1"/>
    <col min="14642" max="14642" width="20.625" style="121" customWidth="1"/>
    <col min="14643" max="14848" width="9" style="121"/>
    <col min="14849" max="14849" width="3.375" style="121" bestFit="1" customWidth="1"/>
    <col min="14850" max="14855" width="10.375" style="121" customWidth="1"/>
    <col min="14856" max="14858" width="11.625" style="121" customWidth="1"/>
    <col min="14859" max="14861" width="10.375" style="121" customWidth="1"/>
    <col min="14862" max="14873" width="5.875" style="121" customWidth="1"/>
    <col min="14874" max="14874" width="3.625" style="121" customWidth="1"/>
    <col min="14875" max="14875" width="2.25" style="121" bestFit="1" customWidth="1"/>
    <col min="14876" max="14876" width="20.625" style="121" customWidth="1"/>
    <col min="14877" max="14877" width="2.25" style="121" bestFit="1" customWidth="1"/>
    <col min="14878" max="14878" width="20.625" style="121" customWidth="1"/>
    <col min="14879" max="14879" width="2.25" style="121" bestFit="1" customWidth="1"/>
    <col min="14880" max="14880" width="20.625" style="121" customWidth="1"/>
    <col min="14881" max="14881" width="2.25" style="121" bestFit="1" customWidth="1"/>
    <col min="14882" max="14882" width="20.625" style="121" customWidth="1"/>
    <col min="14883" max="14883" width="2.25" style="121" bestFit="1" customWidth="1"/>
    <col min="14884" max="14884" width="20.625" style="121" customWidth="1"/>
    <col min="14885" max="14885" width="2.25" style="121" bestFit="1" customWidth="1"/>
    <col min="14886" max="14886" width="20.625" style="121" customWidth="1"/>
    <col min="14887" max="14887" width="2.25" style="121" bestFit="1" customWidth="1"/>
    <col min="14888" max="14888" width="20.625" style="121" customWidth="1"/>
    <col min="14889" max="14889" width="2.25" style="121" bestFit="1" customWidth="1"/>
    <col min="14890" max="14890" width="20.625" style="121" customWidth="1"/>
    <col min="14891" max="14891" width="2.25" style="121" bestFit="1" customWidth="1"/>
    <col min="14892" max="14892" width="20.625" style="121" customWidth="1"/>
    <col min="14893" max="14893" width="2.25" style="121" bestFit="1" customWidth="1"/>
    <col min="14894" max="14894" width="20.625" style="121" customWidth="1"/>
    <col min="14895" max="14895" width="2.25" style="121" bestFit="1" customWidth="1"/>
    <col min="14896" max="14896" width="20.625" style="121" customWidth="1"/>
    <col min="14897" max="14897" width="2.25" style="121" bestFit="1" customWidth="1"/>
    <col min="14898" max="14898" width="20.625" style="121" customWidth="1"/>
    <col min="14899" max="15104" width="9" style="121"/>
    <col min="15105" max="15105" width="3.375" style="121" bestFit="1" customWidth="1"/>
    <col min="15106" max="15111" width="10.375" style="121" customWidth="1"/>
    <col min="15112" max="15114" width="11.625" style="121" customWidth="1"/>
    <col min="15115" max="15117" width="10.375" style="121" customWidth="1"/>
    <col min="15118" max="15129" width="5.875" style="121" customWidth="1"/>
    <col min="15130" max="15130" width="3.625" style="121" customWidth="1"/>
    <col min="15131" max="15131" width="2.25" style="121" bestFit="1" customWidth="1"/>
    <col min="15132" max="15132" width="20.625" style="121" customWidth="1"/>
    <col min="15133" max="15133" width="2.25" style="121" bestFit="1" customWidth="1"/>
    <col min="15134" max="15134" width="20.625" style="121" customWidth="1"/>
    <col min="15135" max="15135" width="2.25" style="121" bestFit="1" customWidth="1"/>
    <col min="15136" max="15136" width="20.625" style="121" customWidth="1"/>
    <col min="15137" max="15137" width="2.25" style="121" bestFit="1" customWidth="1"/>
    <col min="15138" max="15138" width="20.625" style="121" customWidth="1"/>
    <col min="15139" max="15139" width="2.25" style="121" bestFit="1" customWidth="1"/>
    <col min="15140" max="15140" width="20.625" style="121" customWidth="1"/>
    <col min="15141" max="15141" width="2.25" style="121" bestFit="1" customWidth="1"/>
    <col min="15142" max="15142" width="20.625" style="121" customWidth="1"/>
    <col min="15143" max="15143" width="2.25" style="121" bestFit="1" customWidth="1"/>
    <col min="15144" max="15144" width="20.625" style="121" customWidth="1"/>
    <col min="15145" max="15145" width="2.25" style="121" bestFit="1" customWidth="1"/>
    <col min="15146" max="15146" width="20.625" style="121" customWidth="1"/>
    <col min="15147" max="15147" width="2.25" style="121" bestFit="1" customWidth="1"/>
    <col min="15148" max="15148" width="20.625" style="121" customWidth="1"/>
    <col min="15149" max="15149" width="2.25" style="121" bestFit="1" customWidth="1"/>
    <col min="15150" max="15150" width="20.625" style="121" customWidth="1"/>
    <col min="15151" max="15151" width="2.25" style="121" bestFit="1" customWidth="1"/>
    <col min="15152" max="15152" width="20.625" style="121" customWidth="1"/>
    <col min="15153" max="15153" width="2.25" style="121" bestFit="1" customWidth="1"/>
    <col min="15154" max="15154" width="20.625" style="121" customWidth="1"/>
    <col min="15155" max="15360" width="9" style="121"/>
    <col min="15361" max="15361" width="3.375" style="121" bestFit="1" customWidth="1"/>
    <col min="15362" max="15367" width="10.375" style="121" customWidth="1"/>
    <col min="15368" max="15370" width="11.625" style="121" customWidth="1"/>
    <col min="15371" max="15373" width="10.375" style="121" customWidth="1"/>
    <col min="15374" max="15385" width="5.875" style="121" customWidth="1"/>
    <col min="15386" max="15386" width="3.625" style="121" customWidth="1"/>
    <col min="15387" max="15387" width="2.25" style="121" bestFit="1" customWidth="1"/>
    <col min="15388" max="15388" width="20.625" style="121" customWidth="1"/>
    <col min="15389" max="15389" width="2.25" style="121" bestFit="1" customWidth="1"/>
    <col min="15390" max="15390" width="20.625" style="121" customWidth="1"/>
    <col min="15391" max="15391" width="2.25" style="121" bestFit="1" customWidth="1"/>
    <col min="15392" max="15392" width="20.625" style="121" customWidth="1"/>
    <col min="15393" max="15393" width="2.25" style="121" bestFit="1" customWidth="1"/>
    <col min="15394" max="15394" width="20.625" style="121" customWidth="1"/>
    <col min="15395" max="15395" width="2.25" style="121" bestFit="1" customWidth="1"/>
    <col min="15396" max="15396" width="20.625" style="121" customWidth="1"/>
    <col min="15397" max="15397" width="2.25" style="121" bestFit="1" customWidth="1"/>
    <col min="15398" max="15398" width="20.625" style="121" customWidth="1"/>
    <col min="15399" max="15399" width="2.25" style="121" bestFit="1" customWidth="1"/>
    <col min="15400" max="15400" width="20.625" style="121" customWidth="1"/>
    <col min="15401" max="15401" width="2.25" style="121" bestFit="1" customWidth="1"/>
    <col min="15402" max="15402" width="20.625" style="121" customWidth="1"/>
    <col min="15403" max="15403" width="2.25" style="121" bestFit="1" customWidth="1"/>
    <col min="15404" max="15404" width="20.625" style="121" customWidth="1"/>
    <col min="15405" max="15405" width="2.25" style="121" bestFit="1" customWidth="1"/>
    <col min="15406" max="15406" width="20.625" style="121" customWidth="1"/>
    <col min="15407" max="15407" width="2.25" style="121" bestFit="1" customWidth="1"/>
    <col min="15408" max="15408" width="20.625" style="121" customWidth="1"/>
    <col min="15409" max="15409" width="2.25" style="121" bestFit="1" customWidth="1"/>
    <col min="15410" max="15410" width="20.625" style="121" customWidth="1"/>
    <col min="15411" max="15616" width="9" style="121"/>
    <col min="15617" max="15617" width="3.375" style="121" bestFit="1" customWidth="1"/>
    <col min="15618" max="15623" width="10.375" style="121" customWidth="1"/>
    <col min="15624" max="15626" width="11.625" style="121" customWidth="1"/>
    <col min="15627" max="15629" width="10.375" style="121" customWidth="1"/>
    <col min="15630" max="15641" width="5.875" style="121" customWidth="1"/>
    <col min="15642" max="15642" width="3.625" style="121" customWidth="1"/>
    <col min="15643" max="15643" width="2.25" style="121" bestFit="1" customWidth="1"/>
    <col min="15644" max="15644" width="20.625" style="121" customWidth="1"/>
    <col min="15645" max="15645" width="2.25" style="121" bestFit="1" customWidth="1"/>
    <col min="15646" max="15646" width="20.625" style="121" customWidth="1"/>
    <col min="15647" max="15647" width="2.25" style="121" bestFit="1" customWidth="1"/>
    <col min="15648" max="15648" width="20.625" style="121" customWidth="1"/>
    <col min="15649" max="15649" width="2.25" style="121" bestFit="1" customWidth="1"/>
    <col min="15650" max="15650" width="20.625" style="121" customWidth="1"/>
    <col min="15651" max="15651" width="2.25" style="121" bestFit="1" customWidth="1"/>
    <col min="15652" max="15652" width="20.625" style="121" customWidth="1"/>
    <col min="15653" max="15653" width="2.25" style="121" bestFit="1" customWidth="1"/>
    <col min="15654" max="15654" width="20.625" style="121" customWidth="1"/>
    <col min="15655" max="15655" width="2.25" style="121" bestFit="1" customWidth="1"/>
    <col min="15656" max="15656" width="20.625" style="121" customWidth="1"/>
    <col min="15657" max="15657" width="2.25" style="121" bestFit="1" customWidth="1"/>
    <col min="15658" max="15658" width="20.625" style="121" customWidth="1"/>
    <col min="15659" max="15659" width="2.25" style="121" bestFit="1" customWidth="1"/>
    <col min="15660" max="15660" width="20.625" style="121" customWidth="1"/>
    <col min="15661" max="15661" width="2.25" style="121" bestFit="1" customWidth="1"/>
    <col min="15662" max="15662" width="20.625" style="121" customWidth="1"/>
    <col min="15663" max="15663" width="2.25" style="121" bestFit="1" customWidth="1"/>
    <col min="15664" max="15664" width="20.625" style="121" customWidth="1"/>
    <col min="15665" max="15665" width="2.25" style="121" bestFit="1" customWidth="1"/>
    <col min="15666" max="15666" width="20.625" style="121" customWidth="1"/>
    <col min="15667" max="15872" width="9" style="121"/>
    <col min="15873" max="15873" width="3.375" style="121" bestFit="1" customWidth="1"/>
    <col min="15874" max="15879" width="10.375" style="121" customWidth="1"/>
    <col min="15880" max="15882" width="11.625" style="121" customWidth="1"/>
    <col min="15883" max="15885" width="10.375" style="121" customWidth="1"/>
    <col min="15886" max="15897" width="5.875" style="121" customWidth="1"/>
    <col min="15898" max="15898" width="3.625" style="121" customWidth="1"/>
    <col min="15899" max="15899" width="2.25" style="121" bestFit="1" customWidth="1"/>
    <col min="15900" max="15900" width="20.625" style="121" customWidth="1"/>
    <col min="15901" max="15901" width="2.25" style="121" bestFit="1" customWidth="1"/>
    <col min="15902" max="15902" width="20.625" style="121" customWidth="1"/>
    <col min="15903" max="15903" width="2.25" style="121" bestFit="1" customWidth="1"/>
    <col min="15904" max="15904" width="20.625" style="121" customWidth="1"/>
    <col min="15905" max="15905" width="2.25" style="121" bestFit="1" customWidth="1"/>
    <col min="15906" max="15906" width="20.625" style="121" customWidth="1"/>
    <col min="15907" max="15907" width="2.25" style="121" bestFit="1" customWidth="1"/>
    <col min="15908" max="15908" width="20.625" style="121" customWidth="1"/>
    <col min="15909" max="15909" width="2.25" style="121" bestFit="1" customWidth="1"/>
    <col min="15910" max="15910" width="20.625" style="121" customWidth="1"/>
    <col min="15911" max="15911" width="2.25" style="121" bestFit="1" customWidth="1"/>
    <col min="15912" max="15912" width="20.625" style="121" customWidth="1"/>
    <col min="15913" max="15913" width="2.25" style="121" bestFit="1" customWidth="1"/>
    <col min="15914" max="15914" width="20.625" style="121" customWidth="1"/>
    <col min="15915" max="15915" width="2.25" style="121" bestFit="1" customWidth="1"/>
    <col min="15916" max="15916" width="20.625" style="121" customWidth="1"/>
    <col min="15917" max="15917" width="2.25" style="121" bestFit="1" customWidth="1"/>
    <col min="15918" max="15918" width="20.625" style="121" customWidth="1"/>
    <col min="15919" max="15919" width="2.25" style="121" bestFit="1" customWidth="1"/>
    <col min="15920" max="15920" width="20.625" style="121" customWidth="1"/>
    <col min="15921" max="15921" width="2.25" style="121" bestFit="1" customWidth="1"/>
    <col min="15922" max="15922" width="20.625" style="121" customWidth="1"/>
    <col min="15923" max="16128" width="9" style="121"/>
    <col min="16129" max="16129" width="3.375" style="121" bestFit="1" customWidth="1"/>
    <col min="16130" max="16135" width="10.375" style="121" customWidth="1"/>
    <col min="16136" max="16138" width="11.625" style="121" customWidth="1"/>
    <col min="16139" max="16141" width="10.375" style="121" customWidth="1"/>
    <col min="16142" max="16153" width="5.875" style="121" customWidth="1"/>
    <col min="16154" max="16154" width="3.625" style="121" customWidth="1"/>
    <col min="16155" max="16155" width="2.25" style="121" bestFit="1" customWidth="1"/>
    <col min="16156" max="16156" width="20.625" style="121" customWidth="1"/>
    <col min="16157" max="16157" width="2.25" style="121" bestFit="1" customWidth="1"/>
    <col min="16158" max="16158" width="20.625" style="121" customWidth="1"/>
    <col min="16159" max="16159" width="2.25" style="121" bestFit="1" customWidth="1"/>
    <col min="16160" max="16160" width="20.625" style="121" customWidth="1"/>
    <col min="16161" max="16161" width="2.25" style="121" bestFit="1" customWidth="1"/>
    <col min="16162" max="16162" width="20.625" style="121" customWidth="1"/>
    <col min="16163" max="16163" width="2.25" style="121" bestFit="1" customWidth="1"/>
    <col min="16164" max="16164" width="20.625" style="121" customWidth="1"/>
    <col min="16165" max="16165" width="2.25" style="121" bestFit="1" customWidth="1"/>
    <col min="16166" max="16166" width="20.625" style="121" customWidth="1"/>
    <col min="16167" max="16167" width="2.25" style="121" bestFit="1" customWidth="1"/>
    <col min="16168" max="16168" width="20.625" style="121" customWidth="1"/>
    <col min="16169" max="16169" width="2.25" style="121" bestFit="1" customWidth="1"/>
    <col min="16170" max="16170" width="20.625" style="121" customWidth="1"/>
    <col min="16171" max="16171" width="2.25" style="121" bestFit="1" customWidth="1"/>
    <col min="16172" max="16172" width="20.625" style="121" customWidth="1"/>
    <col min="16173" max="16173" width="2.25" style="121" bestFit="1" customWidth="1"/>
    <col min="16174" max="16174" width="20.625" style="121" customWidth="1"/>
    <col min="16175" max="16175" width="2.25" style="121" bestFit="1" customWidth="1"/>
    <col min="16176" max="16176" width="20.625" style="121" customWidth="1"/>
    <col min="16177" max="16177" width="2.25" style="121" bestFit="1" customWidth="1"/>
    <col min="16178" max="16178" width="20.625" style="121" customWidth="1"/>
    <col min="16179" max="16384" width="9" style="121"/>
  </cols>
  <sheetData>
    <row r="1" spans="1:50" ht="30" customHeight="1" thickBot="1">
      <c r="N1" s="121" t="s">
        <v>58</v>
      </c>
      <c r="Z1" s="121">
        <v>2025</v>
      </c>
      <c r="AA1" s="195" t="s">
        <v>59</v>
      </c>
      <c r="AB1" s="196"/>
      <c r="AD1" s="123" t="s">
        <v>295</v>
      </c>
      <c r="AH1" s="124"/>
      <c r="AI1" s="125"/>
      <c r="AJ1" s="126"/>
      <c r="AL1" s="166">
        <v>45748</v>
      </c>
      <c r="AM1" s="125"/>
      <c r="AN1" s="125"/>
      <c r="AT1" s="127"/>
    </row>
    <row r="2" spans="1:50">
      <c r="B2" s="121">
        <v>4</v>
      </c>
      <c r="C2" s="121">
        <v>5</v>
      </c>
      <c r="D2" s="121">
        <v>6</v>
      </c>
      <c r="E2" s="121">
        <v>7</v>
      </c>
      <c r="F2" s="121">
        <v>8</v>
      </c>
      <c r="G2" s="121">
        <v>9</v>
      </c>
      <c r="H2" s="121">
        <v>10</v>
      </c>
      <c r="I2" s="121">
        <v>11</v>
      </c>
      <c r="J2" s="121">
        <v>12</v>
      </c>
      <c r="K2" s="121">
        <v>1</v>
      </c>
      <c r="L2" s="121">
        <v>2</v>
      </c>
      <c r="M2" s="121">
        <v>3</v>
      </c>
      <c r="N2" s="121">
        <v>4</v>
      </c>
      <c r="O2" s="121">
        <v>5</v>
      </c>
      <c r="P2" s="121">
        <v>6</v>
      </c>
      <c r="Q2" s="121">
        <v>7</v>
      </c>
      <c r="R2" s="121">
        <v>8</v>
      </c>
      <c r="S2" s="121">
        <v>9</v>
      </c>
      <c r="T2" s="121">
        <v>10</v>
      </c>
      <c r="U2" s="121">
        <v>11</v>
      </c>
      <c r="V2" s="121">
        <v>12</v>
      </c>
      <c r="W2" s="121">
        <v>1</v>
      </c>
      <c r="X2" s="121">
        <v>2</v>
      </c>
      <c r="Y2" s="121">
        <v>3</v>
      </c>
      <c r="AA2" s="197" t="s">
        <v>61</v>
      </c>
      <c r="AB2" s="198"/>
      <c r="AC2" s="198" t="s">
        <v>62</v>
      </c>
      <c r="AD2" s="198"/>
      <c r="AE2" s="198" t="s">
        <v>63</v>
      </c>
      <c r="AF2" s="198"/>
      <c r="AG2" s="198" t="s">
        <v>64</v>
      </c>
      <c r="AH2" s="198"/>
      <c r="AI2" s="198" t="s">
        <v>65</v>
      </c>
      <c r="AJ2" s="198"/>
      <c r="AK2" s="198" t="s">
        <v>66</v>
      </c>
      <c r="AL2" s="198"/>
      <c r="AM2" s="198" t="s">
        <v>67</v>
      </c>
      <c r="AN2" s="198"/>
      <c r="AO2" s="198" t="s">
        <v>68</v>
      </c>
      <c r="AP2" s="198"/>
      <c r="AQ2" s="198" t="s">
        <v>69</v>
      </c>
      <c r="AR2" s="198"/>
      <c r="AS2" s="198" t="s">
        <v>70</v>
      </c>
      <c r="AT2" s="198"/>
      <c r="AU2" s="198" t="s">
        <v>71</v>
      </c>
      <c r="AV2" s="198"/>
      <c r="AW2" s="198" t="s">
        <v>72</v>
      </c>
      <c r="AX2" s="203"/>
    </row>
    <row r="3" spans="1:50" s="128" customFormat="1" ht="39" customHeight="1">
      <c r="A3" s="128">
        <v>1</v>
      </c>
      <c r="B3" s="129">
        <v>45748</v>
      </c>
      <c r="C3" s="129">
        <v>45778</v>
      </c>
      <c r="D3" s="129">
        <v>45809</v>
      </c>
      <c r="E3" s="129">
        <v>45839</v>
      </c>
      <c r="F3" s="129">
        <v>45870</v>
      </c>
      <c r="G3" s="129">
        <v>45901</v>
      </c>
      <c r="H3" s="129">
        <v>45931</v>
      </c>
      <c r="I3" s="129">
        <v>45962</v>
      </c>
      <c r="J3" s="129">
        <v>45992</v>
      </c>
      <c r="K3" s="129">
        <v>46023</v>
      </c>
      <c r="L3" s="129">
        <v>46054</v>
      </c>
      <c r="M3" s="129">
        <v>46082</v>
      </c>
      <c r="N3" s="128">
        <v>0</v>
      </c>
      <c r="O3" s="128">
        <v>0</v>
      </c>
      <c r="P3" s="128">
        <v>1</v>
      </c>
      <c r="Q3" s="128">
        <v>0</v>
      </c>
      <c r="R3" s="128">
        <v>0</v>
      </c>
      <c r="S3" s="128">
        <v>0</v>
      </c>
      <c r="T3" s="128">
        <v>0</v>
      </c>
      <c r="U3" s="128">
        <v>1</v>
      </c>
      <c r="V3" s="128">
        <v>0</v>
      </c>
      <c r="W3" s="128">
        <v>1</v>
      </c>
      <c r="X3" s="128">
        <v>1</v>
      </c>
      <c r="Y3" s="128">
        <v>1</v>
      </c>
      <c r="AA3" s="130" t="s">
        <v>73</v>
      </c>
      <c r="AB3" s="131"/>
      <c r="AC3" s="132" t="s">
        <v>74</v>
      </c>
      <c r="AD3" s="133"/>
      <c r="AE3" s="132" t="s">
        <v>75</v>
      </c>
      <c r="AF3" s="133"/>
      <c r="AG3" s="132" t="s">
        <v>73</v>
      </c>
      <c r="AH3" s="133"/>
      <c r="AI3" s="132" t="s">
        <v>76</v>
      </c>
      <c r="AJ3" s="133"/>
      <c r="AK3" s="132" t="s">
        <v>77</v>
      </c>
      <c r="AL3" s="133"/>
      <c r="AM3" s="132" t="s">
        <v>78</v>
      </c>
      <c r="AN3" s="133"/>
      <c r="AO3" s="132" t="s">
        <v>79</v>
      </c>
      <c r="AP3" s="133"/>
      <c r="AQ3" s="132" t="s">
        <v>77</v>
      </c>
      <c r="AR3" s="133"/>
      <c r="AS3" s="132" t="s">
        <v>74</v>
      </c>
      <c r="AT3" s="133"/>
      <c r="AU3" s="132" t="s">
        <v>75</v>
      </c>
      <c r="AV3" s="133"/>
      <c r="AW3" s="132" t="s">
        <v>75</v>
      </c>
      <c r="AX3" s="134"/>
    </row>
    <row r="4" spans="1:50" s="128" customFormat="1" ht="39" customHeight="1">
      <c r="A4" s="128">
        <v>2</v>
      </c>
      <c r="B4" s="129">
        <v>45749</v>
      </c>
      <c r="C4" s="129">
        <v>45779</v>
      </c>
      <c r="D4" s="129">
        <v>45810</v>
      </c>
      <c r="E4" s="129">
        <v>45840</v>
      </c>
      <c r="F4" s="129">
        <v>45871</v>
      </c>
      <c r="G4" s="129">
        <v>45902</v>
      </c>
      <c r="H4" s="129">
        <v>45932</v>
      </c>
      <c r="I4" s="129">
        <v>45963</v>
      </c>
      <c r="J4" s="129">
        <v>45993</v>
      </c>
      <c r="K4" s="129">
        <v>46024</v>
      </c>
      <c r="L4" s="129">
        <v>46055</v>
      </c>
      <c r="M4" s="129">
        <v>46083</v>
      </c>
      <c r="N4" s="128">
        <v>0</v>
      </c>
      <c r="O4" s="128">
        <v>0</v>
      </c>
      <c r="P4" s="128">
        <v>0</v>
      </c>
      <c r="Q4" s="128">
        <v>0</v>
      </c>
      <c r="R4" s="128">
        <v>1</v>
      </c>
      <c r="S4" s="128">
        <v>0</v>
      </c>
      <c r="T4" s="128">
        <v>0</v>
      </c>
      <c r="U4" s="128">
        <v>1</v>
      </c>
      <c r="V4" s="128">
        <v>0</v>
      </c>
      <c r="W4" s="128">
        <v>0</v>
      </c>
      <c r="X4" s="128">
        <v>0</v>
      </c>
      <c r="Y4" s="128">
        <v>0</v>
      </c>
      <c r="AA4" s="130" t="s">
        <v>80</v>
      </c>
      <c r="AB4" s="131"/>
      <c r="AC4" s="132" t="s">
        <v>81</v>
      </c>
      <c r="AD4" s="133"/>
      <c r="AE4" s="132" t="s">
        <v>82</v>
      </c>
      <c r="AF4" s="133"/>
      <c r="AG4" s="132" t="s">
        <v>80</v>
      </c>
      <c r="AH4" s="133"/>
      <c r="AI4" s="132" t="s">
        <v>83</v>
      </c>
      <c r="AJ4" s="133"/>
      <c r="AK4" s="132" t="s">
        <v>84</v>
      </c>
      <c r="AL4" s="133"/>
      <c r="AM4" s="132" t="s">
        <v>85</v>
      </c>
      <c r="AN4" s="133"/>
      <c r="AO4" s="132" t="s">
        <v>86</v>
      </c>
      <c r="AP4" s="133"/>
      <c r="AQ4" s="132" t="s">
        <v>84</v>
      </c>
      <c r="AR4" s="133"/>
      <c r="AS4" s="132" t="s">
        <v>81</v>
      </c>
      <c r="AT4" s="133"/>
      <c r="AU4" s="132" t="s">
        <v>82</v>
      </c>
      <c r="AV4" s="133"/>
      <c r="AW4" s="132" t="s">
        <v>82</v>
      </c>
      <c r="AX4" s="134"/>
    </row>
    <row r="5" spans="1:50" s="128" customFormat="1" ht="39" customHeight="1">
      <c r="A5" s="128">
        <v>3</v>
      </c>
      <c r="B5" s="129">
        <v>45750</v>
      </c>
      <c r="C5" s="129">
        <v>45780</v>
      </c>
      <c r="D5" s="129">
        <v>45811</v>
      </c>
      <c r="E5" s="129">
        <v>45841</v>
      </c>
      <c r="F5" s="129">
        <v>45872</v>
      </c>
      <c r="G5" s="129">
        <v>45903</v>
      </c>
      <c r="H5" s="129">
        <v>45933</v>
      </c>
      <c r="I5" s="129">
        <v>45964</v>
      </c>
      <c r="J5" s="129">
        <v>45994</v>
      </c>
      <c r="K5" s="129">
        <v>46025</v>
      </c>
      <c r="L5" s="129">
        <v>46056</v>
      </c>
      <c r="M5" s="129">
        <v>46084</v>
      </c>
      <c r="N5" s="128">
        <v>0</v>
      </c>
      <c r="O5" s="128">
        <v>1</v>
      </c>
      <c r="P5" s="128">
        <v>0</v>
      </c>
      <c r="Q5" s="128">
        <v>0</v>
      </c>
      <c r="R5" s="128">
        <v>1</v>
      </c>
      <c r="S5" s="128">
        <v>0</v>
      </c>
      <c r="T5" s="128">
        <v>0</v>
      </c>
      <c r="U5" s="128">
        <v>1</v>
      </c>
      <c r="V5" s="128">
        <v>0</v>
      </c>
      <c r="W5" s="128">
        <v>1</v>
      </c>
      <c r="X5" s="128">
        <v>0</v>
      </c>
      <c r="Y5" s="128">
        <v>0</v>
      </c>
      <c r="AA5" s="130" t="s">
        <v>87</v>
      </c>
      <c r="AB5" s="131"/>
      <c r="AC5" s="132" t="s">
        <v>88</v>
      </c>
      <c r="AD5" s="133"/>
      <c r="AE5" s="132" t="s">
        <v>89</v>
      </c>
      <c r="AF5" s="133"/>
      <c r="AG5" s="132" t="s">
        <v>87</v>
      </c>
      <c r="AH5" s="133"/>
      <c r="AI5" s="132" t="s">
        <v>90</v>
      </c>
      <c r="AJ5" s="133"/>
      <c r="AK5" s="132" t="s">
        <v>91</v>
      </c>
      <c r="AL5" s="133"/>
      <c r="AM5" s="132" t="s">
        <v>92</v>
      </c>
      <c r="AN5" s="133"/>
      <c r="AO5" s="132" t="s">
        <v>93</v>
      </c>
      <c r="AP5" s="133"/>
      <c r="AQ5" s="132" t="s">
        <v>91</v>
      </c>
      <c r="AR5" s="133"/>
      <c r="AS5" s="132" t="s">
        <v>88</v>
      </c>
      <c r="AT5" s="133"/>
      <c r="AU5" s="132" t="s">
        <v>89</v>
      </c>
      <c r="AV5" s="133"/>
      <c r="AW5" s="132" t="s">
        <v>89</v>
      </c>
      <c r="AX5" s="134"/>
    </row>
    <row r="6" spans="1:50" s="128" customFormat="1" ht="39" customHeight="1">
      <c r="A6" s="128">
        <v>4</v>
      </c>
      <c r="B6" s="129">
        <v>45751</v>
      </c>
      <c r="C6" s="129">
        <v>45781</v>
      </c>
      <c r="D6" s="129">
        <v>45812</v>
      </c>
      <c r="E6" s="129">
        <v>45842</v>
      </c>
      <c r="F6" s="129">
        <v>45873</v>
      </c>
      <c r="G6" s="129">
        <v>45904</v>
      </c>
      <c r="H6" s="129">
        <v>45934</v>
      </c>
      <c r="I6" s="129">
        <v>45965</v>
      </c>
      <c r="J6" s="129">
        <v>45995</v>
      </c>
      <c r="K6" s="129">
        <v>46026</v>
      </c>
      <c r="L6" s="129">
        <v>46057</v>
      </c>
      <c r="M6" s="129">
        <v>46085</v>
      </c>
      <c r="N6" s="128">
        <v>0</v>
      </c>
      <c r="O6" s="128">
        <v>1</v>
      </c>
      <c r="P6" s="128">
        <v>0</v>
      </c>
      <c r="Q6" s="128">
        <v>0</v>
      </c>
      <c r="R6" s="128">
        <v>0</v>
      </c>
      <c r="S6" s="128">
        <v>0</v>
      </c>
      <c r="T6" s="128">
        <v>1</v>
      </c>
      <c r="U6" s="128">
        <v>0</v>
      </c>
      <c r="V6" s="128">
        <v>0</v>
      </c>
      <c r="W6" s="128">
        <v>1</v>
      </c>
      <c r="X6" s="128">
        <v>0</v>
      </c>
      <c r="Y6" s="128">
        <v>0</v>
      </c>
      <c r="AA6" s="130" t="s">
        <v>94</v>
      </c>
      <c r="AB6" s="131"/>
      <c r="AC6" s="132" t="s">
        <v>95</v>
      </c>
      <c r="AD6" s="133"/>
      <c r="AE6" s="132" t="s">
        <v>96</v>
      </c>
      <c r="AF6" s="133"/>
      <c r="AG6" s="132" t="s">
        <v>94</v>
      </c>
      <c r="AH6" s="133"/>
      <c r="AI6" s="132" t="s">
        <v>97</v>
      </c>
      <c r="AJ6" s="133"/>
      <c r="AK6" s="132" t="s">
        <v>98</v>
      </c>
      <c r="AL6" s="133"/>
      <c r="AM6" s="132" t="s">
        <v>99</v>
      </c>
      <c r="AN6" s="133"/>
      <c r="AO6" s="132" t="s">
        <v>100</v>
      </c>
      <c r="AP6" s="133"/>
      <c r="AQ6" s="132" t="s">
        <v>98</v>
      </c>
      <c r="AR6" s="133"/>
      <c r="AS6" s="132" t="s">
        <v>95</v>
      </c>
      <c r="AT6" s="133"/>
      <c r="AU6" s="132" t="s">
        <v>96</v>
      </c>
      <c r="AV6" s="133"/>
      <c r="AW6" s="132" t="s">
        <v>96</v>
      </c>
      <c r="AX6" s="134"/>
    </row>
    <row r="7" spans="1:50" s="128" customFormat="1" ht="39" customHeight="1">
      <c r="A7" s="128">
        <v>5</v>
      </c>
      <c r="B7" s="129">
        <v>45752</v>
      </c>
      <c r="C7" s="129">
        <v>45782</v>
      </c>
      <c r="D7" s="129">
        <v>45813</v>
      </c>
      <c r="E7" s="129">
        <v>45843</v>
      </c>
      <c r="F7" s="129">
        <v>45874</v>
      </c>
      <c r="G7" s="129">
        <v>45905</v>
      </c>
      <c r="H7" s="129">
        <v>45935</v>
      </c>
      <c r="I7" s="129">
        <v>45966</v>
      </c>
      <c r="J7" s="129">
        <v>45996</v>
      </c>
      <c r="K7" s="129">
        <v>46027</v>
      </c>
      <c r="L7" s="129">
        <v>46058</v>
      </c>
      <c r="M7" s="129">
        <v>46086</v>
      </c>
      <c r="N7" s="128">
        <v>1</v>
      </c>
      <c r="O7" s="128">
        <v>1</v>
      </c>
      <c r="P7" s="128">
        <v>0</v>
      </c>
      <c r="Q7" s="128">
        <v>1</v>
      </c>
      <c r="R7" s="128">
        <v>0</v>
      </c>
      <c r="S7" s="128">
        <v>0</v>
      </c>
      <c r="T7" s="128">
        <v>1</v>
      </c>
      <c r="U7" s="128">
        <v>0</v>
      </c>
      <c r="V7" s="128">
        <v>0</v>
      </c>
      <c r="W7" s="128">
        <v>0</v>
      </c>
      <c r="X7" s="128">
        <v>0</v>
      </c>
      <c r="Y7" s="128">
        <v>0</v>
      </c>
      <c r="AA7" s="130" t="s">
        <v>101</v>
      </c>
      <c r="AB7" s="131"/>
      <c r="AC7" s="132" t="s">
        <v>102</v>
      </c>
      <c r="AD7" s="133"/>
      <c r="AE7" s="132" t="s">
        <v>103</v>
      </c>
      <c r="AF7" s="133"/>
      <c r="AG7" s="132" t="s">
        <v>101</v>
      </c>
      <c r="AH7" s="133"/>
      <c r="AI7" s="132" t="s">
        <v>104</v>
      </c>
      <c r="AJ7" s="133"/>
      <c r="AK7" s="132" t="s">
        <v>105</v>
      </c>
      <c r="AL7" s="133"/>
      <c r="AM7" s="132" t="s">
        <v>106</v>
      </c>
      <c r="AN7" s="133"/>
      <c r="AO7" s="132" t="s">
        <v>107</v>
      </c>
      <c r="AP7" s="133"/>
      <c r="AQ7" s="132" t="s">
        <v>105</v>
      </c>
      <c r="AR7" s="133"/>
      <c r="AS7" s="132" t="s">
        <v>102</v>
      </c>
      <c r="AT7" s="133"/>
      <c r="AU7" s="132" t="s">
        <v>103</v>
      </c>
      <c r="AV7" s="133"/>
      <c r="AW7" s="132" t="s">
        <v>103</v>
      </c>
      <c r="AX7" s="134"/>
    </row>
    <row r="8" spans="1:50" s="128" customFormat="1" ht="39" customHeight="1">
      <c r="A8" s="128">
        <v>6</v>
      </c>
      <c r="B8" s="129">
        <v>45753</v>
      </c>
      <c r="C8" s="129">
        <v>45783</v>
      </c>
      <c r="D8" s="129">
        <v>45814</v>
      </c>
      <c r="E8" s="129">
        <v>45844</v>
      </c>
      <c r="F8" s="129">
        <v>45875</v>
      </c>
      <c r="G8" s="129">
        <v>45906</v>
      </c>
      <c r="H8" s="129">
        <v>45936</v>
      </c>
      <c r="I8" s="129">
        <v>45967</v>
      </c>
      <c r="J8" s="129">
        <v>45997</v>
      </c>
      <c r="K8" s="129">
        <v>46028</v>
      </c>
      <c r="L8" s="129">
        <v>46059</v>
      </c>
      <c r="M8" s="129">
        <v>46087</v>
      </c>
      <c r="N8" s="128">
        <v>1</v>
      </c>
      <c r="O8" s="128">
        <v>1</v>
      </c>
      <c r="P8" s="128">
        <v>0</v>
      </c>
      <c r="Q8" s="128">
        <v>1</v>
      </c>
      <c r="R8" s="128">
        <v>0</v>
      </c>
      <c r="S8" s="128">
        <v>1</v>
      </c>
      <c r="T8" s="128">
        <v>0</v>
      </c>
      <c r="U8" s="128">
        <v>0</v>
      </c>
      <c r="V8" s="128">
        <v>1</v>
      </c>
      <c r="W8" s="128">
        <v>0</v>
      </c>
      <c r="X8" s="128">
        <v>0</v>
      </c>
      <c r="Y8" s="128">
        <v>0</v>
      </c>
      <c r="AA8" s="130" t="s">
        <v>108</v>
      </c>
      <c r="AB8" s="133"/>
      <c r="AC8" s="132" t="s">
        <v>109</v>
      </c>
      <c r="AD8" s="133"/>
      <c r="AE8" s="132" t="s">
        <v>110</v>
      </c>
      <c r="AF8" s="133"/>
      <c r="AG8" s="132" t="s">
        <v>108</v>
      </c>
      <c r="AH8" s="133"/>
      <c r="AI8" s="132" t="s">
        <v>111</v>
      </c>
      <c r="AJ8" s="133"/>
      <c r="AK8" s="132" t="s">
        <v>112</v>
      </c>
      <c r="AL8" s="133"/>
      <c r="AM8" s="132" t="s">
        <v>113</v>
      </c>
      <c r="AN8" s="133"/>
      <c r="AO8" s="132" t="s">
        <v>114</v>
      </c>
      <c r="AP8" s="133"/>
      <c r="AQ8" s="132" t="s">
        <v>112</v>
      </c>
      <c r="AR8" s="133"/>
      <c r="AS8" s="132" t="s">
        <v>109</v>
      </c>
      <c r="AT8" s="133"/>
      <c r="AU8" s="132" t="s">
        <v>110</v>
      </c>
      <c r="AV8" s="133"/>
      <c r="AW8" s="132" t="s">
        <v>110</v>
      </c>
      <c r="AX8" s="134"/>
    </row>
    <row r="9" spans="1:50" s="128" customFormat="1" ht="39" customHeight="1">
      <c r="A9" s="128">
        <v>7</v>
      </c>
      <c r="B9" s="129">
        <v>45754</v>
      </c>
      <c r="C9" s="129">
        <v>45784</v>
      </c>
      <c r="D9" s="129">
        <v>45815</v>
      </c>
      <c r="E9" s="129">
        <v>45845</v>
      </c>
      <c r="F9" s="129">
        <v>45876</v>
      </c>
      <c r="G9" s="129">
        <v>45907</v>
      </c>
      <c r="H9" s="129">
        <v>45937</v>
      </c>
      <c r="I9" s="129">
        <v>45968</v>
      </c>
      <c r="J9" s="129">
        <v>45998</v>
      </c>
      <c r="K9" s="129">
        <v>46029</v>
      </c>
      <c r="L9" s="129">
        <v>46060</v>
      </c>
      <c r="M9" s="129">
        <v>46088</v>
      </c>
      <c r="N9" s="128">
        <v>0</v>
      </c>
      <c r="O9" s="128">
        <v>0</v>
      </c>
      <c r="P9" s="128">
        <v>1</v>
      </c>
      <c r="Q9" s="128">
        <v>0</v>
      </c>
      <c r="R9" s="128">
        <v>0</v>
      </c>
      <c r="S9" s="128">
        <v>1</v>
      </c>
      <c r="T9" s="128">
        <v>0</v>
      </c>
      <c r="U9" s="128">
        <v>0</v>
      </c>
      <c r="V9" s="128">
        <v>1</v>
      </c>
      <c r="W9" s="128">
        <v>0</v>
      </c>
      <c r="X9" s="128">
        <v>1</v>
      </c>
      <c r="Y9" s="128">
        <v>1</v>
      </c>
      <c r="AA9" s="130" t="s">
        <v>115</v>
      </c>
      <c r="AB9" s="133"/>
      <c r="AC9" s="132" t="s">
        <v>116</v>
      </c>
      <c r="AD9" s="133"/>
      <c r="AE9" s="132" t="s">
        <v>117</v>
      </c>
      <c r="AF9" s="133"/>
      <c r="AG9" s="132" t="s">
        <v>115</v>
      </c>
      <c r="AH9" s="133"/>
      <c r="AI9" s="132" t="s">
        <v>118</v>
      </c>
      <c r="AJ9" s="133"/>
      <c r="AK9" s="132" t="s">
        <v>119</v>
      </c>
      <c r="AL9" s="133"/>
      <c r="AM9" s="132" t="s">
        <v>120</v>
      </c>
      <c r="AN9" s="133"/>
      <c r="AO9" s="132" t="s">
        <v>121</v>
      </c>
      <c r="AP9" s="133"/>
      <c r="AQ9" s="132" t="s">
        <v>119</v>
      </c>
      <c r="AR9" s="133"/>
      <c r="AS9" s="132" t="s">
        <v>116</v>
      </c>
      <c r="AT9" s="133"/>
      <c r="AU9" s="132" t="s">
        <v>117</v>
      </c>
      <c r="AV9" s="133"/>
      <c r="AW9" s="132" t="s">
        <v>117</v>
      </c>
      <c r="AX9" s="134"/>
    </row>
    <row r="10" spans="1:50" s="128" customFormat="1" ht="39" customHeight="1">
      <c r="A10" s="128">
        <v>8</v>
      </c>
      <c r="B10" s="129">
        <v>45755</v>
      </c>
      <c r="C10" s="129">
        <v>45785</v>
      </c>
      <c r="D10" s="129">
        <v>45816</v>
      </c>
      <c r="E10" s="129">
        <v>45846</v>
      </c>
      <c r="F10" s="129">
        <v>45877</v>
      </c>
      <c r="G10" s="129">
        <v>45908</v>
      </c>
      <c r="H10" s="129">
        <v>45938</v>
      </c>
      <c r="I10" s="129">
        <v>45969</v>
      </c>
      <c r="J10" s="129">
        <v>45999</v>
      </c>
      <c r="K10" s="129">
        <v>46030</v>
      </c>
      <c r="L10" s="129">
        <v>46061</v>
      </c>
      <c r="M10" s="129">
        <v>46089</v>
      </c>
      <c r="N10" s="128">
        <v>0</v>
      </c>
      <c r="O10" s="128">
        <v>0</v>
      </c>
      <c r="P10" s="128">
        <v>1</v>
      </c>
      <c r="Q10" s="128">
        <v>0</v>
      </c>
      <c r="R10" s="128">
        <v>0</v>
      </c>
      <c r="S10" s="128">
        <v>0</v>
      </c>
      <c r="T10" s="128">
        <v>0</v>
      </c>
      <c r="U10" s="128">
        <v>1</v>
      </c>
      <c r="V10" s="128">
        <v>0</v>
      </c>
      <c r="W10" s="128">
        <v>0</v>
      </c>
      <c r="X10" s="128">
        <v>1</v>
      </c>
      <c r="Y10" s="128">
        <v>1</v>
      </c>
      <c r="AA10" s="130" t="s">
        <v>122</v>
      </c>
      <c r="AB10" s="133"/>
      <c r="AC10" s="132" t="s">
        <v>123</v>
      </c>
      <c r="AD10" s="133"/>
      <c r="AE10" s="132" t="s">
        <v>124</v>
      </c>
      <c r="AF10" s="133"/>
      <c r="AG10" s="132" t="s">
        <v>122</v>
      </c>
      <c r="AH10" s="133"/>
      <c r="AI10" s="132" t="s">
        <v>125</v>
      </c>
      <c r="AJ10" s="133"/>
      <c r="AK10" s="132" t="s">
        <v>126</v>
      </c>
      <c r="AL10" s="133"/>
      <c r="AM10" s="132" t="s">
        <v>127</v>
      </c>
      <c r="AN10" s="133"/>
      <c r="AO10" s="132" t="s">
        <v>128</v>
      </c>
      <c r="AP10" s="133"/>
      <c r="AQ10" s="132" t="s">
        <v>126</v>
      </c>
      <c r="AR10" s="133"/>
      <c r="AS10" s="132" t="s">
        <v>123</v>
      </c>
      <c r="AT10" s="133"/>
      <c r="AU10" s="132" t="s">
        <v>124</v>
      </c>
      <c r="AV10" s="133"/>
      <c r="AW10" s="132" t="s">
        <v>124</v>
      </c>
      <c r="AX10" s="134"/>
    </row>
    <row r="11" spans="1:50" s="128" customFormat="1" ht="39" customHeight="1">
      <c r="A11" s="128">
        <v>9</v>
      </c>
      <c r="B11" s="129">
        <v>45756</v>
      </c>
      <c r="C11" s="129">
        <v>45786</v>
      </c>
      <c r="D11" s="129">
        <v>45817</v>
      </c>
      <c r="E11" s="129">
        <v>45847</v>
      </c>
      <c r="F11" s="129">
        <v>45878</v>
      </c>
      <c r="G11" s="129">
        <v>45909</v>
      </c>
      <c r="H11" s="129">
        <v>45939</v>
      </c>
      <c r="I11" s="129">
        <v>45970</v>
      </c>
      <c r="J11" s="129">
        <v>46000</v>
      </c>
      <c r="K11" s="129">
        <v>46031</v>
      </c>
      <c r="L11" s="129">
        <v>46062</v>
      </c>
      <c r="M11" s="129">
        <v>46090</v>
      </c>
      <c r="N11" s="128">
        <v>0</v>
      </c>
      <c r="O11" s="128">
        <v>0</v>
      </c>
      <c r="P11" s="128">
        <v>0</v>
      </c>
      <c r="Q11" s="128">
        <v>0</v>
      </c>
      <c r="R11" s="128">
        <v>1</v>
      </c>
      <c r="S11" s="128">
        <v>0</v>
      </c>
      <c r="T11" s="128">
        <v>0</v>
      </c>
      <c r="U11" s="128">
        <v>1</v>
      </c>
      <c r="V11" s="128">
        <v>0</v>
      </c>
      <c r="W11" s="128">
        <v>0</v>
      </c>
      <c r="X11" s="128">
        <v>0</v>
      </c>
      <c r="Y11" s="128">
        <v>0</v>
      </c>
      <c r="AA11" s="130" t="s">
        <v>129</v>
      </c>
      <c r="AB11" s="133"/>
      <c r="AC11" s="132" t="s">
        <v>130</v>
      </c>
      <c r="AD11" s="133"/>
      <c r="AE11" s="132" t="s">
        <v>131</v>
      </c>
      <c r="AF11" s="133"/>
      <c r="AG11" s="132" t="s">
        <v>129</v>
      </c>
      <c r="AH11" s="133"/>
      <c r="AI11" s="132" t="s">
        <v>132</v>
      </c>
      <c r="AJ11" s="133"/>
      <c r="AK11" s="132" t="s">
        <v>133</v>
      </c>
      <c r="AL11" s="133"/>
      <c r="AM11" s="132" t="s">
        <v>134</v>
      </c>
      <c r="AN11" s="133"/>
      <c r="AO11" s="132" t="s">
        <v>135</v>
      </c>
      <c r="AP11" s="133"/>
      <c r="AQ11" s="132" t="s">
        <v>133</v>
      </c>
      <c r="AR11" s="133"/>
      <c r="AS11" s="132" t="s">
        <v>130</v>
      </c>
      <c r="AT11" s="133"/>
      <c r="AU11" s="132" t="s">
        <v>131</v>
      </c>
      <c r="AV11" s="133"/>
      <c r="AW11" s="132" t="s">
        <v>131</v>
      </c>
      <c r="AX11" s="134"/>
    </row>
    <row r="12" spans="1:50" s="128" customFormat="1" ht="39" customHeight="1">
      <c r="A12" s="128">
        <v>10</v>
      </c>
      <c r="B12" s="129">
        <v>45757</v>
      </c>
      <c r="C12" s="129">
        <v>45787</v>
      </c>
      <c r="D12" s="129">
        <v>45818</v>
      </c>
      <c r="E12" s="129">
        <v>45848</v>
      </c>
      <c r="F12" s="129">
        <v>45879</v>
      </c>
      <c r="G12" s="129">
        <v>45910</v>
      </c>
      <c r="H12" s="129">
        <v>45940</v>
      </c>
      <c r="I12" s="129">
        <v>45971</v>
      </c>
      <c r="J12" s="129">
        <v>46001</v>
      </c>
      <c r="K12" s="129">
        <v>46032</v>
      </c>
      <c r="L12" s="129">
        <v>46063</v>
      </c>
      <c r="M12" s="129">
        <v>46091</v>
      </c>
      <c r="N12" s="128">
        <v>0</v>
      </c>
      <c r="O12" s="128">
        <v>1</v>
      </c>
      <c r="P12" s="128">
        <v>0</v>
      </c>
      <c r="Q12" s="128">
        <v>0</v>
      </c>
      <c r="R12" s="128">
        <v>1</v>
      </c>
      <c r="S12" s="128">
        <v>0</v>
      </c>
      <c r="T12" s="128">
        <v>0</v>
      </c>
      <c r="U12" s="128">
        <v>0</v>
      </c>
      <c r="V12" s="128">
        <v>0</v>
      </c>
      <c r="W12" s="128">
        <v>1</v>
      </c>
      <c r="X12" s="128">
        <v>0</v>
      </c>
      <c r="Y12" s="128">
        <v>0</v>
      </c>
      <c r="AA12" s="130" t="s">
        <v>136</v>
      </c>
      <c r="AB12" s="133"/>
      <c r="AC12" s="132" t="s">
        <v>137</v>
      </c>
      <c r="AD12" s="133"/>
      <c r="AE12" s="132" t="s">
        <v>138</v>
      </c>
      <c r="AF12" s="133"/>
      <c r="AG12" s="132" t="s">
        <v>136</v>
      </c>
      <c r="AH12" s="133"/>
      <c r="AI12" s="132" t="s">
        <v>139</v>
      </c>
      <c r="AJ12" s="133"/>
      <c r="AK12" s="132" t="s">
        <v>140</v>
      </c>
      <c r="AL12" s="133"/>
      <c r="AM12" s="132" t="s">
        <v>141</v>
      </c>
      <c r="AN12" s="133"/>
      <c r="AO12" s="132" t="s">
        <v>142</v>
      </c>
      <c r="AP12" s="133"/>
      <c r="AQ12" s="132" t="s">
        <v>140</v>
      </c>
      <c r="AR12" s="133"/>
      <c r="AS12" s="132" t="s">
        <v>137</v>
      </c>
      <c r="AT12" s="133"/>
      <c r="AU12" s="132" t="s">
        <v>138</v>
      </c>
      <c r="AV12" s="133"/>
      <c r="AW12" s="132" t="s">
        <v>138</v>
      </c>
      <c r="AX12" s="134"/>
    </row>
    <row r="13" spans="1:50" s="128" customFormat="1" ht="39" customHeight="1">
      <c r="A13" s="128">
        <v>11</v>
      </c>
      <c r="B13" s="129">
        <v>45758</v>
      </c>
      <c r="C13" s="129">
        <v>45788</v>
      </c>
      <c r="D13" s="129">
        <v>45819</v>
      </c>
      <c r="E13" s="129">
        <v>45849</v>
      </c>
      <c r="F13" s="129">
        <v>45880</v>
      </c>
      <c r="G13" s="129">
        <v>45911</v>
      </c>
      <c r="H13" s="129">
        <v>45941</v>
      </c>
      <c r="I13" s="129">
        <v>45972</v>
      </c>
      <c r="J13" s="129">
        <v>46002</v>
      </c>
      <c r="K13" s="129">
        <v>46033</v>
      </c>
      <c r="L13" s="129">
        <v>46064</v>
      </c>
      <c r="M13" s="129">
        <v>46092</v>
      </c>
      <c r="N13" s="128">
        <v>0</v>
      </c>
      <c r="O13" s="128">
        <v>1</v>
      </c>
      <c r="P13" s="128">
        <v>0</v>
      </c>
      <c r="Q13" s="128">
        <v>0</v>
      </c>
      <c r="R13" s="128">
        <v>1</v>
      </c>
      <c r="S13" s="128">
        <v>0</v>
      </c>
      <c r="T13" s="128">
        <v>1</v>
      </c>
      <c r="U13" s="128">
        <v>0</v>
      </c>
      <c r="V13" s="128">
        <v>0</v>
      </c>
      <c r="W13" s="128">
        <v>1</v>
      </c>
      <c r="X13" s="128">
        <v>1</v>
      </c>
      <c r="Y13" s="128">
        <v>0</v>
      </c>
      <c r="AA13" s="130" t="s">
        <v>143</v>
      </c>
      <c r="AB13" s="133"/>
      <c r="AC13" s="132" t="s">
        <v>144</v>
      </c>
      <c r="AD13" s="133"/>
      <c r="AE13" s="132" t="s">
        <v>145</v>
      </c>
      <c r="AF13" s="133"/>
      <c r="AG13" s="132" t="s">
        <v>143</v>
      </c>
      <c r="AH13" s="133"/>
      <c r="AI13" s="132" t="s">
        <v>146</v>
      </c>
      <c r="AJ13" s="133"/>
      <c r="AK13" s="132" t="s">
        <v>147</v>
      </c>
      <c r="AL13" s="133"/>
      <c r="AM13" s="132" t="s">
        <v>148</v>
      </c>
      <c r="AN13" s="133"/>
      <c r="AO13" s="132" t="s">
        <v>149</v>
      </c>
      <c r="AP13" s="133"/>
      <c r="AQ13" s="132" t="s">
        <v>147</v>
      </c>
      <c r="AR13" s="133"/>
      <c r="AS13" s="132" t="s">
        <v>144</v>
      </c>
      <c r="AT13" s="133"/>
      <c r="AU13" s="132" t="s">
        <v>145</v>
      </c>
      <c r="AV13" s="133"/>
      <c r="AW13" s="132" t="s">
        <v>145</v>
      </c>
      <c r="AX13" s="134"/>
    </row>
    <row r="14" spans="1:50" s="128" customFormat="1" ht="39" customHeight="1">
      <c r="A14" s="128">
        <v>12</v>
      </c>
      <c r="B14" s="129">
        <v>45759</v>
      </c>
      <c r="C14" s="129">
        <v>45789</v>
      </c>
      <c r="D14" s="129">
        <v>45820</v>
      </c>
      <c r="E14" s="129">
        <v>45850</v>
      </c>
      <c r="F14" s="129">
        <v>45881</v>
      </c>
      <c r="G14" s="129">
        <v>45912</v>
      </c>
      <c r="H14" s="129">
        <v>45942</v>
      </c>
      <c r="I14" s="129">
        <v>45973</v>
      </c>
      <c r="J14" s="129">
        <v>46003</v>
      </c>
      <c r="K14" s="129">
        <v>46034</v>
      </c>
      <c r="L14" s="129">
        <v>46065</v>
      </c>
      <c r="M14" s="129">
        <v>46093</v>
      </c>
      <c r="N14" s="128">
        <v>1</v>
      </c>
      <c r="O14" s="128">
        <v>0</v>
      </c>
      <c r="P14" s="128">
        <v>0</v>
      </c>
      <c r="Q14" s="128">
        <v>1</v>
      </c>
      <c r="R14" s="128">
        <v>0</v>
      </c>
      <c r="S14" s="128">
        <v>0</v>
      </c>
      <c r="T14" s="128">
        <v>1</v>
      </c>
      <c r="U14" s="128">
        <v>0</v>
      </c>
      <c r="V14" s="128">
        <v>0</v>
      </c>
      <c r="W14" s="128">
        <v>1</v>
      </c>
      <c r="X14" s="128">
        <v>0</v>
      </c>
      <c r="Y14" s="128">
        <v>0</v>
      </c>
      <c r="AA14" s="130" t="s">
        <v>150</v>
      </c>
      <c r="AB14" s="133"/>
      <c r="AC14" s="132" t="s">
        <v>151</v>
      </c>
      <c r="AD14" s="133"/>
      <c r="AE14" s="132" t="s">
        <v>152</v>
      </c>
      <c r="AF14" s="133"/>
      <c r="AG14" s="132" t="s">
        <v>150</v>
      </c>
      <c r="AH14" s="133"/>
      <c r="AI14" s="132" t="s">
        <v>153</v>
      </c>
      <c r="AJ14" s="133"/>
      <c r="AK14" s="132" t="s">
        <v>154</v>
      </c>
      <c r="AL14" s="133"/>
      <c r="AM14" s="132" t="s">
        <v>155</v>
      </c>
      <c r="AN14" s="133"/>
      <c r="AO14" s="132" t="s">
        <v>156</v>
      </c>
      <c r="AP14" s="133"/>
      <c r="AQ14" s="132" t="s">
        <v>154</v>
      </c>
      <c r="AR14" s="133"/>
      <c r="AS14" s="132" t="s">
        <v>151</v>
      </c>
      <c r="AT14" s="133"/>
      <c r="AU14" s="132" t="s">
        <v>152</v>
      </c>
      <c r="AV14" s="133"/>
      <c r="AW14" s="132" t="s">
        <v>152</v>
      </c>
      <c r="AX14" s="134"/>
    </row>
    <row r="15" spans="1:50" s="128" customFormat="1" ht="39" customHeight="1">
      <c r="A15" s="128">
        <v>13</v>
      </c>
      <c r="B15" s="129">
        <v>45760</v>
      </c>
      <c r="C15" s="129">
        <v>45790</v>
      </c>
      <c r="D15" s="129">
        <v>45821</v>
      </c>
      <c r="E15" s="129">
        <v>45851</v>
      </c>
      <c r="F15" s="129">
        <v>45882</v>
      </c>
      <c r="G15" s="129">
        <v>45913</v>
      </c>
      <c r="H15" s="129">
        <v>45943</v>
      </c>
      <c r="I15" s="129">
        <v>45974</v>
      </c>
      <c r="J15" s="129">
        <v>46004</v>
      </c>
      <c r="K15" s="129">
        <v>46035</v>
      </c>
      <c r="L15" s="129">
        <v>46066</v>
      </c>
      <c r="M15" s="129">
        <v>46094</v>
      </c>
      <c r="N15" s="128">
        <v>1</v>
      </c>
      <c r="O15" s="128">
        <v>0</v>
      </c>
      <c r="P15" s="128">
        <v>0</v>
      </c>
      <c r="Q15" s="128">
        <v>1</v>
      </c>
      <c r="R15" s="128">
        <v>0</v>
      </c>
      <c r="S15" s="128">
        <v>1</v>
      </c>
      <c r="T15" s="128">
        <v>1</v>
      </c>
      <c r="U15" s="128">
        <v>0</v>
      </c>
      <c r="V15" s="128">
        <v>1</v>
      </c>
      <c r="W15" s="128">
        <v>0</v>
      </c>
      <c r="X15" s="128">
        <v>0</v>
      </c>
      <c r="Y15" s="128">
        <v>0</v>
      </c>
      <c r="AA15" s="130" t="s">
        <v>157</v>
      </c>
      <c r="AB15" s="133"/>
      <c r="AC15" s="132" t="s">
        <v>158</v>
      </c>
      <c r="AD15" s="133"/>
      <c r="AE15" s="132" t="s">
        <v>159</v>
      </c>
      <c r="AF15" s="133"/>
      <c r="AG15" s="132" t="s">
        <v>157</v>
      </c>
      <c r="AH15" s="133"/>
      <c r="AI15" s="132" t="s">
        <v>160</v>
      </c>
      <c r="AJ15" s="133"/>
      <c r="AK15" s="132" t="s">
        <v>161</v>
      </c>
      <c r="AL15" s="133"/>
      <c r="AM15" s="132" t="s">
        <v>162</v>
      </c>
      <c r="AN15" s="133"/>
      <c r="AO15" s="132" t="s">
        <v>163</v>
      </c>
      <c r="AP15" s="133"/>
      <c r="AQ15" s="132" t="s">
        <v>161</v>
      </c>
      <c r="AR15" s="133"/>
      <c r="AS15" s="132" t="s">
        <v>158</v>
      </c>
      <c r="AT15" s="133"/>
      <c r="AU15" s="132" t="s">
        <v>159</v>
      </c>
      <c r="AV15" s="133"/>
      <c r="AW15" s="132" t="s">
        <v>159</v>
      </c>
      <c r="AX15" s="134"/>
    </row>
    <row r="16" spans="1:50" s="128" customFormat="1" ht="39" customHeight="1">
      <c r="A16" s="128">
        <v>14</v>
      </c>
      <c r="B16" s="129">
        <v>45761</v>
      </c>
      <c r="C16" s="129">
        <v>45791</v>
      </c>
      <c r="D16" s="129">
        <v>45822</v>
      </c>
      <c r="E16" s="129">
        <v>45852</v>
      </c>
      <c r="F16" s="129">
        <v>45883</v>
      </c>
      <c r="G16" s="129">
        <v>45914</v>
      </c>
      <c r="H16" s="129">
        <v>45944</v>
      </c>
      <c r="I16" s="129">
        <v>45975</v>
      </c>
      <c r="J16" s="129">
        <v>46005</v>
      </c>
      <c r="K16" s="129">
        <v>46036</v>
      </c>
      <c r="L16" s="129">
        <v>46067</v>
      </c>
      <c r="M16" s="129">
        <v>46095</v>
      </c>
      <c r="N16" s="128">
        <v>0</v>
      </c>
      <c r="O16" s="128">
        <v>0</v>
      </c>
      <c r="P16" s="128">
        <v>1</v>
      </c>
      <c r="Q16" s="128">
        <v>0</v>
      </c>
      <c r="R16" s="128">
        <v>0</v>
      </c>
      <c r="S16" s="128">
        <v>1</v>
      </c>
      <c r="T16" s="128">
        <v>0</v>
      </c>
      <c r="U16" s="128">
        <v>0</v>
      </c>
      <c r="V16" s="128">
        <v>1</v>
      </c>
      <c r="W16" s="128">
        <v>0</v>
      </c>
      <c r="X16" s="128">
        <v>1</v>
      </c>
      <c r="Y16" s="128">
        <v>1</v>
      </c>
      <c r="AA16" s="130" t="s">
        <v>164</v>
      </c>
      <c r="AB16" s="133"/>
      <c r="AC16" s="132" t="s">
        <v>165</v>
      </c>
      <c r="AD16" s="133"/>
      <c r="AE16" s="132" t="s">
        <v>166</v>
      </c>
      <c r="AF16" s="133"/>
      <c r="AG16" s="132" t="s">
        <v>164</v>
      </c>
      <c r="AH16" s="133"/>
      <c r="AI16" s="132" t="s">
        <v>167</v>
      </c>
      <c r="AJ16" s="133"/>
      <c r="AK16" s="132" t="s">
        <v>168</v>
      </c>
      <c r="AL16" s="133"/>
      <c r="AM16" s="132" t="s">
        <v>169</v>
      </c>
      <c r="AN16" s="133"/>
      <c r="AO16" s="132" t="s">
        <v>170</v>
      </c>
      <c r="AP16" s="133"/>
      <c r="AQ16" s="132" t="s">
        <v>168</v>
      </c>
      <c r="AR16" s="133"/>
      <c r="AS16" s="132" t="s">
        <v>165</v>
      </c>
      <c r="AT16" s="133"/>
      <c r="AU16" s="132" t="s">
        <v>166</v>
      </c>
      <c r="AV16" s="133"/>
      <c r="AW16" s="132" t="s">
        <v>166</v>
      </c>
      <c r="AX16" s="134"/>
    </row>
    <row r="17" spans="1:50" s="128" customFormat="1" ht="39" customHeight="1">
      <c r="A17" s="128">
        <v>15</v>
      </c>
      <c r="B17" s="129">
        <v>45762</v>
      </c>
      <c r="C17" s="129">
        <v>45792</v>
      </c>
      <c r="D17" s="129">
        <v>45823</v>
      </c>
      <c r="E17" s="129">
        <v>45853</v>
      </c>
      <c r="F17" s="129">
        <v>45884</v>
      </c>
      <c r="G17" s="129">
        <v>45915</v>
      </c>
      <c r="H17" s="129">
        <v>45945</v>
      </c>
      <c r="I17" s="129">
        <v>45976</v>
      </c>
      <c r="J17" s="129">
        <v>46006</v>
      </c>
      <c r="K17" s="129">
        <v>46037</v>
      </c>
      <c r="L17" s="129">
        <v>46068</v>
      </c>
      <c r="M17" s="129">
        <v>46096</v>
      </c>
      <c r="N17" s="128">
        <v>0</v>
      </c>
      <c r="O17" s="128">
        <v>0</v>
      </c>
      <c r="P17" s="128">
        <v>1</v>
      </c>
      <c r="Q17" s="128">
        <v>0</v>
      </c>
      <c r="R17" s="128">
        <v>0</v>
      </c>
      <c r="S17" s="128">
        <v>1</v>
      </c>
      <c r="T17" s="128">
        <v>0</v>
      </c>
      <c r="U17" s="128">
        <v>1</v>
      </c>
      <c r="V17" s="128">
        <v>0</v>
      </c>
      <c r="W17" s="128">
        <v>0</v>
      </c>
      <c r="X17" s="128">
        <v>1</v>
      </c>
      <c r="Y17" s="128">
        <v>1</v>
      </c>
      <c r="AA17" s="130" t="s">
        <v>171</v>
      </c>
      <c r="AB17" s="133"/>
      <c r="AC17" s="132" t="s">
        <v>172</v>
      </c>
      <c r="AD17" s="133"/>
      <c r="AE17" s="132" t="s">
        <v>173</v>
      </c>
      <c r="AF17" s="133"/>
      <c r="AG17" s="132" t="s">
        <v>171</v>
      </c>
      <c r="AH17" s="133"/>
      <c r="AI17" s="132" t="s">
        <v>174</v>
      </c>
      <c r="AJ17" s="133"/>
      <c r="AK17" s="132" t="s">
        <v>175</v>
      </c>
      <c r="AL17" s="133"/>
      <c r="AM17" s="132" t="s">
        <v>176</v>
      </c>
      <c r="AN17" s="133"/>
      <c r="AO17" s="132" t="s">
        <v>177</v>
      </c>
      <c r="AP17" s="133"/>
      <c r="AQ17" s="132" t="s">
        <v>175</v>
      </c>
      <c r="AR17" s="133"/>
      <c r="AS17" s="132" t="s">
        <v>172</v>
      </c>
      <c r="AT17" s="133"/>
      <c r="AU17" s="132" t="s">
        <v>173</v>
      </c>
      <c r="AV17" s="133"/>
      <c r="AW17" s="132" t="s">
        <v>173</v>
      </c>
      <c r="AX17" s="134"/>
    </row>
    <row r="18" spans="1:50" s="128" customFormat="1" ht="39" customHeight="1">
      <c r="A18" s="128">
        <v>16</v>
      </c>
      <c r="B18" s="129">
        <v>45763</v>
      </c>
      <c r="C18" s="129">
        <v>45793</v>
      </c>
      <c r="D18" s="129">
        <v>45824</v>
      </c>
      <c r="E18" s="129">
        <v>45854</v>
      </c>
      <c r="F18" s="129">
        <v>45885</v>
      </c>
      <c r="G18" s="129">
        <v>45916</v>
      </c>
      <c r="H18" s="129">
        <v>45946</v>
      </c>
      <c r="I18" s="129">
        <v>45977</v>
      </c>
      <c r="J18" s="129">
        <v>46007</v>
      </c>
      <c r="K18" s="129">
        <v>46038</v>
      </c>
      <c r="L18" s="129">
        <v>46069</v>
      </c>
      <c r="M18" s="129">
        <v>46097</v>
      </c>
      <c r="N18" s="128">
        <v>0</v>
      </c>
      <c r="O18" s="128">
        <v>0</v>
      </c>
      <c r="P18" s="128">
        <v>0</v>
      </c>
      <c r="Q18" s="128">
        <v>0</v>
      </c>
      <c r="R18" s="128">
        <v>1</v>
      </c>
      <c r="S18" s="128">
        <v>0</v>
      </c>
      <c r="T18" s="128">
        <v>0</v>
      </c>
      <c r="U18" s="128">
        <v>1</v>
      </c>
      <c r="V18" s="128">
        <v>0</v>
      </c>
      <c r="W18" s="128">
        <v>0</v>
      </c>
      <c r="X18" s="128">
        <v>0</v>
      </c>
      <c r="Y18" s="128">
        <v>0</v>
      </c>
      <c r="AA18" s="130" t="s">
        <v>178</v>
      </c>
      <c r="AB18" s="133"/>
      <c r="AC18" s="132" t="s">
        <v>179</v>
      </c>
      <c r="AD18" s="133"/>
      <c r="AE18" s="132" t="s">
        <v>180</v>
      </c>
      <c r="AF18" s="133"/>
      <c r="AG18" s="132" t="s">
        <v>178</v>
      </c>
      <c r="AH18" s="133"/>
      <c r="AI18" s="132" t="s">
        <v>181</v>
      </c>
      <c r="AJ18" s="133"/>
      <c r="AK18" s="132" t="s">
        <v>182</v>
      </c>
      <c r="AL18" s="133"/>
      <c r="AM18" s="132" t="s">
        <v>183</v>
      </c>
      <c r="AN18" s="133"/>
      <c r="AO18" s="132" t="s">
        <v>184</v>
      </c>
      <c r="AP18" s="133"/>
      <c r="AQ18" s="132" t="s">
        <v>182</v>
      </c>
      <c r="AR18" s="133"/>
      <c r="AS18" s="132" t="s">
        <v>179</v>
      </c>
      <c r="AT18" s="133"/>
      <c r="AU18" s="132" t="s">
        <v>180</v>
      </c>
      <c r="AV18" s="133"/>
      <c r="AW18" s="132" t="s">
        <v>180</v>
      </c>
      <c r="AX18" s="134"/>
    </row>
    <row r="19" spans="1:50" s="128" customFormat="1" ht="39" customHeight="1">
      <c r="A19" s="128">
        <v>17</v>
      </c>
      <c r="B19" s="129">
        <v>45764</v>
      </c>
      <c r="C19" s="129">
        <v>45794</v>
      </c>
      <c r="D19" s="129">
        <v>45825</v>
      </c>
      <c r="E19" s="129">
        <v>45855</v>
      </c>
      <c r="F19" s="129">
        <v>45886</v>
      </c>
      <c r="G19" s="129">
        <v>45917</v>
      </c>
      <c r="H19" s="129">
        <v>45947</v>
      </c>
      <c r="I19" s="129">
        <v>45978</v>
      </c>
      <c r="J19" s="129">
        <v>46008</v>
      </c>
      <c r="K19" s="129">
        <v>46039</v>
      </c>
      <c r="L19" s="129">
        <v>46070</v>
      </c>
      <c r="M19" s="129">
        <v>46098</v>
      </c>
      <c r="N19" s="128">
        <v>0</v>
      </c>
      <c r="O19" s="128">
        <v>1</v>
      </c>
      <c r="P19" s="128">
        <v>0</v>
      </c>
      <c r="Q19" s="128">
        <v>0</v>
      </c>
      <c r="R19" s="128">
        <v>1</v>
      </c>
      <c r="S19" s="128">
        <v>0</v>
      </c>
      <c r="T19" s="128">
        <v>0</v>
      </c>
      <c r="U19" s="128">
        <v>0</v>
      </c>
      <c r="V19" s="128">
        <v>0</v>
      </c>
      <c r="W19" s="128">
        <v>1</v>
      </c>
      <c r="X19" s="128">
        <v>0</v>
      </c>
      <c r="Y19" s="128">
        <v>0</v>
      </c>
      <c r="AA19" s="130" t="s">
        <v>185</v>
      </c>
      <c r="AB19" s="133"/>
      <c r="AC19" s="132" t="s">
        <v>186</v>
      </c>
      <c r="AD19" s="133"/>
      <c r="AE19" s="132" t="s">
        <v>187</v>
      </c>
      <c r="AF19" s="133"/>
      <c r="AG19" s="132" t="s">
        <v>185</v>
      </c>
      <c r="AH19" s="133"/>
      <c r="AI19" s="132" t="s">
        <v>188</v>
      </c>
      <c r="AJ19" s="133"/>
      <c r="AK19" s="132" t="s">
        <v>189</v>
      </c>
      <c r="AL19" s="133"/>
      <c r="AM19" s="132" t="s">
        <v>190</v>
      </c>
      <c r="AN19" s="133"/>
      <c r="AO19" s="132" t="s">
        <v>191</v>
      </c>
      <c r="AP19" s="133"/>
      <c r="AQ19" s="132" t="s">
        <v>189</v>
      </c>
      <c r="AR19" s="133"/>
      <c r="AS19" s="132" t="s">
        <v>186</v>
      </c>
      <c r="AT19" s="133"/>
      <c r="AU19" s="132" t="s">
        <v>187</v>
      </c>
      <c r="AV19" s="133"/>
      <c r="AW19" s="132" t="s">
        <v>187</v>
      </c>
      <c r="AX19" s="134"/>
    </row>
    <row r="20" spans="1:50" s="128" customFormat="1" ht="39" customHeight="1">
      <c r="A20" s="128">
        <v>18</v>
      </c>
      <c r="B20" s="129">
        <v>45765</v>
      </c>
      <c r="C20" s="129">
        <v>45795</v>
      </c>
      <c r="D20" s="129">
        <v>45826</v>
      </c>
      <c r="E20" s="129">
        <v>45856</v>
      </c>
      <c r="F20" s="129">
        <v>45887</v>
      </c>
      <c r="G20" s="129">
        <v>45918</v>
      </c>
      <c r="H20" s="129">
        <v>45948</v>
      </c>
      <c r="I20" s="129">
        <v>45979</v>
      </c>
      <c r="J20" s="129">
        <v>46009</v>
      </c>
      <c r="K20" s="129">
        <v>46040</v>
      </c>
      <c r="L20" s="129">
        <v>46071</v>
      </c>
      <c r="M20" s="129">
        <v>46099</v>
      </c>
      <c r="N20" s="128">
        <v>0</v>
      </c>
      <c r="O20" s="128">
        <v>1</v>
      </c>
      <c r="P20" s="128">
        <v>0</v>
      </c>
      <c r="Q20" s="128">
        <v>0</v>
      </c>
      <c r="R20" s="128">
        <v>0</v>
      </c>
      <c r="S20" s="128">
        <v>0</v>
      </c>
      <c r="T20" s="128">
        <v>1</v>
      </c>
      <c r="U20" s="128">
        <v>0</v>
      </c>
      <c r="V20" s="128">
        <v>0</v>
      </c>
      <c r="W20" s="128">
        <v>1</v>
      </c>
      <c r="X20" s="128">
        <v>0</v>
      </c>
      <c r="Y20" s="128">
        <v>0</v>
      </c>
      <c r="AA20" s="130" t="s">
        <v>192</v>
      </c>
      <c r="AB20" s="133"/>
      <c r="AC20" s="132" t="s">
        <v>193</v>
      </c>
      <c r="AD20" s="133"/>
      <c r="AE20" s="132" t="s">
        <v>194</v>
      </c>
      <c r="AF20" s="133"/>
      <c r="AG20" s="132" t="s">
        <v>192</v>
      </c>
      <c r="AH20" s="133"/>
      <c r="AI20" s="132" t="s">
        <v>195</v>
      </c>
      <c r="AJ20" s="133"/>
      <c r="AK20" s="132" t="s">
        <v>196</v>
      </c>
      <c r="AL20" s="133"/>
      <c r="AM20" s="132" t="s">
        <v>197</v>
      </c>
      <c r="AN20" s="133"/>
      <c r="AO20" s="132" t="s">
        <v>198</v>
      </c>
      <c r="AP20" s="133"/>
      <c r="AQ20" s="132" t="s">
        <v>196</v>
      </c>
      <c r="AR20" s="133"/>
      <c r="AS20" s="132" t="s">
        <v>193</v>
      </c>
      <c r="AT20" s="133"/>
      <c r="AU20" s="132" t="s">
        <v>194</v>
      </c>
      <c r="AV20" s="133"/>
      <c r="AW20" s="132" t="s">
        <v>194</v>
      </c>
      <c r="AX20" s="134"/>
    </row>
    <row r="21" spans="1:50" s="128" customFormat="1" ht="39" customHeight="1">
      <c r="A21" s="128">
        <v>19</v>
      </c>
      <c r="B21" s="129">
        <v>45766</v>
      </c>
      <c r="C21" s="129">
        <v>45796</v>
      </c>
      <c r="D21" s="129">
        <v>45827</v>
      </c>
      <c r="E21" s="129">
        <v>45857</v>
      </c>
      <c r="F21" s="129">
        <v>45888</v>
      </c>
      <c r="G21" s="129">
        <v>45919</v>
      </c>
      <c r="H21" s="129">
        <v>45949</v>
      </c>
      <c r="I21" s="129">
        <v>45980</v>
      </c>
      <c r="J21" s="129">
        <v>46010</v>
      </c>
      <c r="K21" s="129">
        <v>46041</v>
      </c>
      <c r="L21" s="129">
        <v>46072</v>
      </c>
      <c r="M21" s="129">
        <v>46100</v>
      </c>
      <c r="N21" s="128">
        <v>1</v>
      </c>
      <c r="O21" s="128">
        <v>0</v>
      </c>
      <c r="P21" s="128">
        <v>0</v>
      </c>
      <c r="Q21" s="128">
        <v>1</v>
      </c>
      <c r="R21" s="128">
        <v>0</v>
      </c>
      <c r="S21" s="128">
        <v>0</v>
      </c>
      <c r="T21" s="128">
        <v>1</v>
      </c>
      <c r="U21" s="128">
        <v>0</v>
      </c>
      <c r="V21" s="128">
        <v>0</v>
      </c>
      <c r="W21" s="128">
        <v>0</v>
      </c>
      <c r="X21" s="128">
        <v>0</v>
      </c>
      <c r="Y21" s="128">
        <v>0</v>
      </c>
      <c r="AA21" s="130" t="s">
        <v>199</v>
      </c>
      <c r="AB21" s="133"/>
      <c r="AC21" s="132" t="s">
        <v>200</v>
      </c>
      <c r="AD21" s="133"/>
      <c r="AE21" s="132" t="s">
        <v>201</v>
      </c>
      <c r="AF21" s="133"/>
      <c r="AG21" s="132" t="s">
        <v>199</v>
      </c>
      <c r="AH21" s="133"/>
      <c r="AI21" s="132" t="s">
        <v>202</v>
      </c>
      <c r="AJ21" s="133"/>
      <c r="AK21" s="132" t="s">
        <v>203</v>
      </c>
      <c r="AL21" s="133"/>
      <c r="AM21" s="132" t="s">
        <v>204</v>
      </c>
      <c r="AN21" s="133"/>
      <c r="AO21" s="132" t="s">
        <v>205</v>
      </c>
      <c r="AP21" s="133"/>
      <c r="AQ21" s="132" t="s">
        <v>203</v>
      </c>
      <c r="AR21" s="133"/>
      <c r="AS21" s="132" t="s">
        <v>200</v>
      </c>
      <c r="AT21" s="133"/>
      <c r="AU21" s="132" t="s">
        <v>201</v>
      </c>
      <c r="AV21" s="133"/>
      <c r="AW21" s="132" t="s">
        <v>201</v>
      </c>
      <c r="AX21" s="134"/>
    </row>
    <row r="22" spans="1:50" s="128" customFormat="1" ht="39" customHeight="1">
      <c r="A22" s="128">
        <v>20</v>
      </c>
      <c r="B22" s="129">
        <v>45767</v>
      </c>
      <c r="C22" s="129">
        <v>45797</v>
      </c>
      <c r="D22" s="129">
        <v>45828</v>
      </c>
      <c r="E22" s="129">
        <v>45858</v>
      </c>
      <c r="F22" s="129">
        <v>45889</v>
      </c>
      <c r="G22" s="129">
        <v>45920</v>
      </c>
      <c r="H22" s="129">
        <v>45950</v>
      </c>
      <c r="I22" s="129">
        <v>45981</v>
      </c>
      <c r="J22" s="129">
        <v>46011</v>
      </c>
      <c r="K22" s="129">
        <v>46042</v>
      </c>
      <c r="L22" s="129">
        <v>46073</v>
      </c>
      <c r="M22" s="129">
        <v>46101</v>
      </c>
      <c r="N22" s="128">
        <v>1</v>
      </c>
      <c r="O22" s="128">
        <v>0</v>
      </c>
      <c r="P22" s="128">
        <v>0</v>
      </c>
      <c r="Q22" s="128">
        <v>1</v>
      </c>
      <c r="R22" s="128">
        <v>0</v>
      </c>
      <c r="S22" s="128">
        <v>1</v>
      </c>
      <c r="T22" s="128">
        <v>0</v>
      </c>
      <c r="U22" s="128">
        <v>0</v>
      </c>
      <c r="V22" s="128">
        <v>1</v>
      </c>
      <c r="W22" s="128">
        <v>0</v>
      </c>
      <c r="X22" s="128">
        <v>0</v>
      </c>
      <c r="Y22" s="128">
        <v>1</v>
      </c>
      <c r="AA22" s="130" t="s">
        <v>206</v>
      </c>
      <c r="AB22" s="133"/>
      <c r="AC22" s="132" t="s">
        <v>207</v>
      </c>
      <c r="AD22" s="133"/>
      <c r="AE22" s="132" t="s">
        <v>208</v>
      </c>
      <c r="AF22" s="133"/>
      <c r="AG22" s="132" t="s">
        <v>206</v>
      </c>
      <c r="AH22" s="133"/>
      <c r="AI22" s="132" t="s">
        <v>209</v>
      </c>
      <c r="AJ22" s="133"/>
      <c r="AK22" s="132" t="s">
        <v>210</v>
      </c>
      <c r="AL22" s="133"/>
      <c r="AM22" s="132" t="s">
        <v>211</v>
      </c>
      <c r="AN22" s="133"/>
      <c r="AO22" s="132" t="s">
        <v>212</v>
      </c>
      <c r="AP22" s="133"/>
      <c r="AQ22" s="132" t="s">
        <v>210</v>
      </c>
      <c r="AR22" s="133"/>
      <c r="AS22" s="132" t="s">
        <v>207</v>
      </c>
      <c r="AT22" s="133"/>
      <c r="AU22" s="132" t="s">
        <v>208</v>
      </c>
      <c r="AV22" s="133"/>
      <c r="AW22" s="132" t="s">
        <v>208</v>
      </c>
      <c r="AX22" s="134"/>
    </row>
    <row r="23" spans="1:50" s="128" customFormat="1" ht="39" customHeight="1">
      <c r="A23" s="128">
        <v>21</v>
      </c>
      <c r="B23" s="129">
        <v>45768</v>
      </c>
      <c r="C23" s="129">
        <v>45798</v>
      </c>
      <c r="D23" s="129">
        <v>45829</v>
      </c>
      <c r="E23" s="129">
        <v>45859</v>
      </c>
      <c r="F23" s="129">
        <v>45890</v>
      </c>
      <c r="G23" s="129">
        <v>45921</v>
      </c>
      <c r="H23" s="129">
        <v>45951</v>
      </c>
      <c r="I23" s="129">
        <v>45982</v>
      </c>
      <c r="J23" s="129">
        <v>46012</v>
      </c>
      <c r="K23" s="129">
        <v>46043</v>
      </c>
      <c r="L23" s="129">
        <v>46074</v>
      </c>
      <c r="M23" s="129">
        <v>46102</v>
      </c>
      <c r="N23" s="128">
        <v>0</v>
      </c>
      <c r="O23" s="128">
        <v>0</v>
      </c>
      <c r="P23" s="128">
        <v>1</v>
      </c>
      <c r="Q23" s="128">
        <v>1</v>
      </c>
      <c r="R23" s="128">
        <v>0</v>
      </c>
      <c r="S23" s="128">
        <v>1</v>
      </c>
      <c r="T23" s="128">
        <v>0</v>
      </c>
      <c r="U23" s="128">
        <v>0</v>
      </c>
      <c r="V23" s="128">
        <v>1</v>
      </c>
      <c r="W23" s="128">
        <v>0</v>
      </c>
      <c r="X23" s="128">
        <v>1</v>
      </c>
      <c r="Y23" s="128">
        <v>1</v>
      </c>
      <c r="AA23" s="130" t="s">
        <v>213</v>
      </c>
      <c r="AB23" s="133"/>
      <c r="AC23" s="132" t="s">
        <v>214</v>
      </c>
      <c r="AD23" s="133"/>
      <c r="AE23" s="132" t="s">
        <v>215</v>
      </c>
      <c r="AF23" s="133"/>
      <c r="AG23" s="132" t="s">
        <v>213</v>
      </c>
      <c r="AH23" s="133"/>
      <c r="AI23" s="132" t="s">
        <v>216</v>
      </c>
      <c r="AJ23" s="133"/>
      <c r="AK23" s="132" t="s">
        <v>217</v>
      </c>
      <c r="AL23" s="133"/>
      <c r="AM23" s="132" t="s">
        <v>218</v>
      </c>
      <c r="AN23" s="133"/>
      <c r="AO23" s="132" t="s">
        <v>219</v>
      </c>
      <c r="AP23" s="133"/>
      <c r="AQ23" s="132" t="s">
        <v>217</v>
      </c>
      <c r="AR23" s="133"/>
      <c r="AS23" s="132" t="s">
        <v>214</v>
      </c>
      <c r="AT23" s="133"/>
      <c r="AU23" s="132" t="s">
        <v>215</v>
      </c>
      <c r="AV23" s="133"/>
      <c r="AW23" s="132" t="s">
        <v>215</v>
      </c>
      <c r="AX23" s="134"/>
    </row>
    <row r="24" spans="1:50" s="128" customFormat="1" ht="39" customHeight="1">
      <c r="A24" s="128">
        <v>22</v>
      </c>
      <c r="B24" s="129">
        <v>45769</v>
      </c>
      <c r="C24" s="129">
        <v>45799</v>
      </c>
      <c r="D24" s="129">
        <v>45830</v>
      </c>
      <c r="E24" s="129">
        <v>45860</v>
      </c>
      <c r="F24" s="129">
        <v>45891</v>
      </c>
      <c r="G24" s="129">
        <v>45922</v>
      </c>
      <c r="H24" s="129">
        <v>45952</v>
      </c>
      <c r="I24" s="129">
        <v>45983</v>
      </c>
      <c r="J24" s="129">
        <v>46013</v>
      </c>
      <c r="K24" s="129">
        <v>46044</v>
      </c>
      <c r="L24" s="129">
        <v>46075</v>
      </c>
      <c r="M24" s="129">
        <v>46103</v>
      </c>
      <c r="N24" s="128">
        <v>0</v>
      </c>
      <c r="O24" s="128">
        <v>0</v>
      </c>
      <c r="P24" s="128">
        <v>1</v>
      </c>
      <c r="Q24" s="128">
        <v>0</v>
      </c>
      <c r="R24" s="128">
        <v>0</v>
      </c>
      <c r="S24" s="128">
        <v>0</v>
      </c>
      <c r="T24" s="128">
        <v>0</v>
      </c>
      <c r="U24" s="128">
        <v>1</v>
      </c>
      <c r="V24" s="128">
        <v>0</v>
      </c>
      <c r="W24" s="128">
        <v>0</v>
      </c>
      <c r="X24" s="128">
        <v>1</v>
      </c>
      <c r="Y24" s="128">
        <v>1</v>
      </c>
      <c r="AA24" s="130" t="s">
        <v>220</v>
      </c>
      <c r="AB24" s="133"/>
      <c r="AC24" s="132" t="s">
        <v>221</v>
      </c>
      <c r="AD24" s="133"/>
      <c r="AE24" s="132" t="s">
        <v>222</v>
      </c>
      <c r="AF24" s="133"/>
      <c r="AG24" s="132" t="s">
        <v>220</v>
      </c>
      <c r="AH24" s="133"/>
      <c r="AI24" s="132" t="s">
        <v>223</v>
      </c>
      <c r="AJ24" s="133"/>
      <c r="AK24" s="132" t="s">
        <v>224</v>
      </c>
      <c r="AL24" s="133"/>
      <c r="AM24" s="132" t="s">
        <v>225</v>
      </c>
      <c r="AN24" s="133"/>
      <c r="AO24" s="132" t="s">
        <v>226</v>
      </c>
      <c r="AP24" s="133"/>
      <c r="AQ24" s="132" t="s">
        <v>224</v>
      </c>
      <c r="AR24" s="133"/>
      <c r="AS24" s="132" t="s">
        <v>221</v>
      </c>
      <c r="AT24" s="133"/>
      <c r="AU24" s="132" t="s">
        <v>222</v>
      </c>
      <c r="AV24" s="133"/>
      <c r="AW24" s="132" t="s">
        <v>222</v>
      </c>
      <c r="AX24" s="134"/>
    </row>
    <row r="25" spans="1:50" s="128" customFormat="1" ht="39" customHeight="1">
      <c r="A25" s="128">
        <v>23</v>
      </c>
      <c r="B25" s="129">
        <v>45770</v>
      </c>
      <c r="C25" s="129">
        <v>45800</v>
      </c>
      <c r="D25" s="129">
        <v>45831</v>
      </c>
      <c r="E25" s="129">
        <v>45861</v>
      </c>
      <c r="F25" s="129">
        <v>45892</v>
      </c>
      <c r="G25" s="129">
        <v>45923</v>
      </c>
      <c r="H25" s="129">
        <v>45953</v>
      </c>
      <c r="I25" s="129">
        <v>45984</v>
      </c>
      <c r="J25" s="129">
        <v>46014</v>
      </c>
      <c r="K25" s="129">
        <v>46045</v>
      </c>
      <c r="L25" s="129">
        <v>46076</v>
      </c>
      <c r="M25" s="129">
        <v>46104</v>
      </c>
      <c r="N25" s="128">
        <v>0</v>
      </c>
      <c r="O25" s="128">
        <v>0</v>
      </c>
      <c r="P25" s="128">
        <v>0</v>
      </c>
      <c r="Q25" s="128">
        <v>0</v>
      </c>
      <c r="R25" s="128">
        <v>1</v>
      </c>
      <c r="S25" s="128">
        <v>1</v>
      </c>
      <c r="T25" s="128">
        <v>0</v>
      </c>
      <c r="U25" s="128">
        <v>1</v>
      </c>
      <c r="V25" s="128">
        <v>0</v>
      </c>
      <c r="W25" s="128">
        <v>0</v>
      </c>
      <c r="X25" s="128">
        <v>1</v>
      </c>
      <c r="Y25" s="128">
        <v>0</v>
      </c>
      <c r="AA25" s="130" t="s">
        <v>227</v>
      </c>
      <c r="AB25" s="133"/>
      <c r="AC25" s="132" t="s">
        <v>228</v>
      </c>
      <c r="AD25" s="133"/>
      <c r="AE25" s="132" t="s">
        <v>229</v>
      </c>
      <c r="AF25" s="133"/>
      <c r="AG25" s="132" t="s">
        <v>227</v>
      </c>
      <c r="AH25" s="133"/>
      <c r="AI25" s="132" t="s">
        <v>230</v>
      </c>
      <c r="AJ25" s="133"/>
      <c r="AK25" s="132" t="s">
        <v>231</v>
      </c>
      <c r="AL25" s="133"/>
      <c r="AM25" s="132" t="s">
        <v>232</v>
      </c>
      <c r="AN25" s="133"/>
      <c r="AO25" s="132" t="s">
        <v>233</v>
      </c>
      <c r="AP25" s="133"/>
      <c r="AQ25" s="132" t="s">
        <v>231</v>
      </c>
      <c r="AR25" s="133"/>
      <c r="AS25" s="132" t="s">
        <v>228</v>
      </c>
      <c r="AT25" s="133"/>
      <c r="AU25" s="132" t="s">
        <v>229</v>
      </c>
      <c r="AV25" s="133"/>
      <c r="AW25" s="132" t="s">
        <v>229</v>
      </c>
      <c r="AX25" s="134"/>
    </row>
    <row r="26" spans="1:50" s="128" customFormat="1" ht="39" customHeight="1">
      <c r="A26" s="128">
        <v>24</v>
      </c>
      <c r="B26" s="129">
        <v>45771</v>
      </c>
      <c r="C26" s="129">
        <v>45801</v>
      </c>
      <c r="D26" s="129">
        <v>45832</v>
      </c>
      <c r="E26" s="129">
        <v>45862</v>
      </c>
      <c r="F26" s="129">
        <v>45893</v>
      </c>
      <c r="G26" s="129">
        <v>45924</v>
      </c>
      <c r="H26" s="129">
        <v>45954</v>
      </c>
      <c r="I26" s="129">
        <v>45985</v>
      </c>
      <c r="J26" s="129">
        <v>46015</v>
      </c>
      <c r="K26" s="129">
        <v>46046</v>
      </c>
      <c r="L26" s="129">
        <v>46077</v>
      </c>
      <c r="M26" s="129">
        <v>46105</v>
      </c>
      <c r="N26" s="128">
        <v>0</v>
      </c>
      <c r="O26" s="128">
        <v>1</v>
      </c>
      <c r="P26" s="128">
        <v>0</v>
      </c>
      <c r="Q26" s="128">
        <v>0</v>
      </c>
      <c r="R26" s="128">
        <v>1</v>
      </c>
      <c r="S26" s="128">
        <v>0</v>
      </c>
      <c r="T26" s="128">
        <v>0</v>
      </c>
      <c r="U26" s="128">
        <v>1</v>
      </c>
      <c r="V26" s="128">
        <v>0</v>
      </c>
      <c r="W26" s="128">
        <v>1</v>
      </c>
      <c r="X26" s="128">
        <v>0</v>
      </c>
      <c r="Y26" s="128">
        <v>0</v>
      </c>
      <c r="AA26" s="130" t="s">
        <v>234</v>
      </c>
      <c r="AB26" s="133"/>
      <c r="AC26" s="132" t="s">
        <v>235</v>
      </c>
      <c r="AD26" s="133"/>
      <c r="AE26" s="132" t="s">
        <v>236</v>
      </c>
      <c r="AF26" s="133"/>
      <c r="AG26" s="132" t="s">
        <v>234</v>
      </c>
      <c r="AH26" s="133"/>
      <c r="AI26" s="132" t="s">
        <v>237</v>
      </c>
      <c r="AJ26" s="133"/>
      <c r="AK26" s="132" t="s">
        <v>238</v>
      </c>
      <c r="AL26" s="133"/>
      <c r="AM26" s="132" t="s">
        <v>239</v>
      </c>
      <c r="AN26" s="133"/>
      <c r="AO26" s="132" t="s">
        <v>240</v>
      </c>
      <c r="AP26" s="133"/>
      <c r="AQ26" s="132" t="s">
        <v>238</v>
      </c>
      <c r="AR26" s="133"/>
      <c r="AS26" s="132" t="s">
        <v>235</v>
      </c>
      <c r="AT26" s="133"/>
      <c r="AU26" s="132" t="s">
        <v>236</v>
      </c>
      <c r="AV26" s="133"/>
      <c r="AW26" s="132" t="s">
        <v>236</v>
      </c>
      <c r="AX26" s="134"/>
    </row>
    <row r="27" spans="1:50" s="128" customFormat="1" ht="39" customHeight="1">
      <c r="A27" s="128">
        <v>25</v>
      </c>
      <c r="B27" s="129">
        <v>45772</v>
      </c>
      <c r="C27" s="129">
        <v>45802</v>
      </c>
      <c r="D27" s="129">
        <v>45833</v>
      </c>
      <c r="E27" s="129">
        <v>45863</v>
      </c>
      <c r="F27" s="129">
        <v>45894</v>
      </c>
      <c r="G27" s="129">
        <v>45925</v>
      </c>
      <c r="H27" s="129">
        <v>45955</v>
      </c>
      <c r="I27" s="129">
        <v>45986</v>
      </c>
      <c r="J27" s="129">
        <v>46016</v>
      </c>
      <c r="K27" s="129">
        <v>46047</v>
      </c>
      <c r="L27" s="129">
        <v>46078</v>
      </c>
      <c r="M27" s="129">
        <v>46106</v>
      </c>
      <c r="N27" s="128">
        <v>0</v>
      </c>
      <c r="O27" s="128">
        <v>1</v>
      </c>
      <c r="P27" s="128">
        <v>0</v>
      </c>
      <c r="Q27" s="128">
        <v>0</v>
      </c>
      <c r="R27" s="128">
        <v>0</v>
      </c>
      <c r="S27" s="128">
        <v>0</v>
      </c>
      <c r="T27" s="128">
        <v>1</v>
      </c>
      <c r="U27" s="128">
        <v>1</v>
      </c>
      <c r="V27" s="128">
        <v>0</v>
      </c>
      <c r="W27" s="128">
        <v>1</v>
      </c>
      <c r="X27" s="128">
        <v>0</v>
      </c>
      <c r="Y27" s="128">
        <v>0</v>
      </c>
      <c r="AA27" s="130" t="s">
        <v>241</v>
      </c>
      <c r="AB27" s="133"/>
      <c r="AC27" s="132" t="s">
        <v>242</v>
      </c>
      <c r="AD27" s="133"/>
      <c r="AE27" s="132" t="s">
        <v>243</v>
      </c>
      <c r="AF27" s="133"/>
      <c r="AG27" s="132" t="s">
        <v>241</v>
      </c>
      <c r="AH27" s="133"/>
      <c r="AI27" s="132" t="s">
        <v>244</v>
      </c>
      <c r="AJ27" s="133"/>
      <c r="AK27" s="132" t="s">
        <v>245</v>
      </c>
      <c r="AL27" s="133"/>
      <c r="AM27" s="132" t="s">
        <v>246</v>
      </c>
      <c r="AN27" s="133"/>
      <c r="AO27" s="132" t="s">
        <v>247</v>
      </c>
      <c r="AP27" s="133"/>
      <c r="AQ27" s="132" t="s">
        <v>245</v>
      </c>
      <c r="AR27" s="133"/>
      <c r="AS27" s="132" t="s">
        <v>242</v>
      </c>
      <c r="AT27" s="133"/>
      <c r="AU27" s="132" t="s">
        <v>243</v>
      </c>
      <c r="AV27" s="133"/>
      <c r="AW27" s="132" t="s">
        <v>243</v>
      </c>
      <c r="AX27" s="134"/>
    </row>
    <row r="28" spans="1:50" s="128" customFormat="1" ht="39" customHeight="1">
      <c r="A28" s="128">
        <v>26</v>
      </c>
      <c r="B28" s="129">
        <v>45773</v>
      </c>
      <c r="C28" s="129">
        <v>45803</v>
      </c>
      <c r="D28" s="129">
        <v>45834</v>
      </c>
      <c r="E28" s="129">
        <v>45864</v>
      </c>
      <c r="F28" s="129">
        <v>45895</v>
      </c>
      <c r="G28" s="129">
        <v>45926</v>
      </c>
      <c r="H28" s="129">
        <v>45956</v>
      </c>
      <c r="I28" s="129">
        <v>45987</v>
      </c>
      <c r="J28" s="129">
        <v>46017</v>
      </c>
      <c r="K28" s="129">
        <v>46048</v>
      </c>
      <c r="L28" s="129">
        <v>46079</v>
      </c>
      <c r="M28" s="129">
        <v>46107</v>
      </c>
      <c r="N28" s="128">
        <v>1</v>
      </c>
      <c r="O28" s="128">
        <v>0</v>
      </c>
      <c r="P28" s="128">
        <v>0</v>
      </c>
      <c r="Q28" s="128">
        <v>1</v>
      </c>
      <c r="R28" s="128">
        <v>0</v>
      </c>
      <c r="S28" s="128">
        <v>0</v>
      </c>
      <c r="T28" s="128">
        <v>1</v>
      </c>
      <c r="U28" s="128">
        <v>0</v>
      </c>
      <c r="V28" s="128">
        <v>0</v>
      </c>
      <c r="W28" s="128">
        <v>0</v>
      </c>
      <c r="X28" s="128">
        <v>0</v>
      </c>
      <c r="Y28" s="128">
        <v>0</v>
      </c>
      <c r="AA28" s="130" t="s">
        <v>248</v>
      </c>
      <c r="AB28" s="133"/>
      <c r="AC28" s="132" t="s">
        <v>249</v>
      </c>
      <c r="AD28" s="133"/>
      <c r="AE28" s="132" t="s">
        <v>250</v>
      </c>
      <c r="AF28" s="133"/>
      <c r="AG28" s="132" t="s">
        <v>248</v>
      </c>
      <c r="AH28" s="133"/>
      <c r="AI28" s="132" t="s">
        <v>251</v>
      </c>
      <c r="AJ28" s="133"/>
      <c r="AK28" s="132" t="s">
        <v>252</v>
      </c>
      <c r="AL28" s="133"/>
      <c r="AM28" s="132" t="s">
        <v>253</v>
      </c>
      <c r="AN28" s="133"/>
      <c r="AO28" s="132" t="s">
        <v>254</v>
      </c>
      <c r="AP28" s="133"/>
      <c r="AQ28" s="132" t="s">
        <v>252</v>
      </c>
      <c r="AR28" s="133"/>
      <c r="AS28" s="132" t="s">
        <v>249</v>
      </c>
      <c r="AT28" s="133"/>
      <c r="AU28" s="132" t="s">
        <v>250</v>
      </c>
      <c r="AV28" s="133"/>
      <c r="AW28" s="132" t="s">
        <v>250</v>
      </c>
      <c r="AX28" s="134"/>
    </row>
    <row r="29" spans="1:50" s="128" customFormat="1" ht="39" customHeight="1">
      <c r="A29" s="128">
        <v>27</v>
      </c>
      <c r="B29" s="129">
        <v>45774</v>
      </c>
      <c r="C29" s="129">
        <v>45804</v>
      </c>
      <c r="D29" s="129">
        <v>45835</v>
      </c>
      <c r="E29" s="129">
        <v>45865</v>
      </c>
      <c r="F29" s="129">
        <v>45896</v>
      </c>
      <c r="G29" s="129">
        <v>45927</v>
      </c>
      <c r="H29" s="129">
        <v>45957</v>
      </c>
      <c r="I29" s="129">
        <v>45988</v>
      </c>
      <c r="J29" s="129">
        <v>46018</v>
      </c>
      <c r="K29" s="129">
        <v>46049</v>
      </c>
      <c r="L29" s="129">
        <v>46080</v>
      </c>
      <c r="M29" s="129">
        <v>46108</v>
      </c>
      <c r="N29" s="128">
        <v>1</v>
      </c>
      <c r="O29" s="128">
        <v>0</v>
      </c>
      <c r="P29" s="128">
        <v>0</v>
      </c>
      <c r="Q29" s="128">
        <v>1</v>
      </c>
      <c r="R29" s="128">
        <v>0</v>
      </c>
      <c r="S29" s="128">
        <v>1</v>
      </c>
      <c r="T29" s="128">
        <v>0</v>
      </c>
      <c r="U29" s="128">
        <v>0</v>
      </c>
      <c r="V29" s="128">
        <v>1</v>
      </c>
      <c r="W29" s="128">
        <v>0</v>
      </c>
      <c r="X29" s="128">
        <v>0</v>
      </c>
      <c r="Y29" s="128">
        <v>0</v>
      </c>
      <c r="AA29" s="130" t="s">
        <v>255</v>
      </c>
      <c r="AB29" s="133"/>
      <c r="AC29" s="132" t="s">
        <v>256</v>
      </c>
      <c r="AD29" s="133"/>
      <c r="AE29" s="132" t="s">
        <v>257</v>
      </c>
      <c r="AF29" s="133"/>
      <c r="AG29" s="132" t="s">
        <v>255</v>
      </c>
      <c r="AH29" s="133"/>
      <c r="AI29" s="132" t="s">
        <v>258</v>
      </c>
      <c r="AJ29" s="133"/>
      <c r="AK29" s="132" t="s">
        <v>259</v>
      </c>
      <c r="AL29" s="133"/>
      <c r="AM29" s="132" t="s">
        <v>260</v>
      </c>
      <c r="AN29" s="133"/>
      <c r="AO29" s="132" t="s">
        <v>261</v>
      </c>
      <c r="AP29" s="133"/>
      <c r="AQ29" s="132" t="s">
        <v>259</v>
      </c>
      <c r="AR29" s="133"/>
      <c r="AS29" s="132" t="s">
        <v>256</v>
      </c>
      <c r="AT29" s="133"/>
      <c r="AU29" s="132" t="s">
        <v>257</v>
      </c>
      <c r="AV29" s="133"/>
      <c r="AW29" s="132" t="s">
        <v>257</v>
      </c>
      <c r="AX29" s="134"/>
    </row>
    <row r="30" spans="1:50" s="128" customFormat="1" ht="39" customHeight="1">
      <c r="A30" s="128">
        <v>28</v>
      </c>
      <c r="B30" s="129">
        <v>45775</v>
      </c>
      <c r="C30" s="129">
        <v>45805</v>
      </c>
      <c r="D30" s="129">
        <v>45836</v>
      </c>
      <c r="E30" s="129">
        <v>45866</v>
      </c>
      <c r="F30" s="129">
        <v>45897</v>
      </c>
      <c r="G30" s="129">
        <v>45928</v>
      </c>
      <c r="H30" s="129">
        <v>45958</v>
      </c>
      <c r="I30" s="129">
        <v>45989</v>
      </c>
      <c r="J30" s="129">
        <v>46019</v>
      </c>
      <c r="K30" s="129">
        <v>46050</v>
      </c>
      <c r="L30" s="129">
        <v>46081</v>
      </c>
      <c r="M30" s="129">
        <v>46109</v>
      </c>
      <c r="N30" s="128">
        <v>0</v>
      </c>
      <c r="O30" s="128">
        <v>0</v>
      </c>
      <c r="P30" s="128">
        <v>1</v>
      </c>
      <c r="Q30" s="128">
        <v>0</v>
      </c>
      <c r="R30" s="128">
        <v>0</v>
      </c>
      <c r="S30" s="128">
        <v>1</v>
      </c>
      <c r="T30" s="128">
        <v>0</v>
      </c>
      <c r="U30" s="128">
        <v>0</v>
      </c>
      <c r="V30" s="128">
        <v>1</v>
      </c>
      <c r="W30" s="128">
        <v>0</v>
      </c>
      <c r="X30" s="128">
        <v>1</v>
      </c>
      <c r="Y30" s="128">
        <v>1</v>
      </c>
      <c r="AA30" s="130" t="s">
        <v>262</v>
      </c>
      <c r="AB30" s="133"/>
      <c r="AC30" s="132" t="s">
        <v>263</v>
      </c>
      <c r="AD30" s="133"/>
      <c r="AE30" s="132" t="s">
        <v>264</v>
      </c>
      <c r="AF30" s="133"/>
      <c r="AG30" s="132" t="s">
        <v>262</v>
      </c>
      <c r="AH30" s="133"/>
      <c r="AI30" s="132" t="s">
        <v>265</v>
      </c>
      <c r="AJ30" s="133"/>
      <c r="AK30" s="132" t="s">
        <v>266</v>
      </c>
      <c r="AL30" s="133"/>
      <c r="AM30" s="132" t="s">
        <v>267</v>
      </c>
      <c r="AN30" s="133"/>
      <c r="AO30" s="132" t="s">
        <v>268</v>
      </c>
      <c r="AP30" s="133"/>
      <c r="AQ30" s="132" t="s">
        <v>266</v>
      </c>
      <c r="AR30" s="133"/>
      <c r="AS30" s="132" t="s">
        <v>263</v>
      </c>
      <c r="AT30" s="133"/>
      <c r="AU30" s="132" t="s">
        <v>264</v>
      </c>
      <c r="AV30" s="133"/>
      <c r="AW30" s="132" t="s">
        <v>264</v>
      </c>
      <c r="AX30" s="134"/>
    </row>
    <row r="31" spans="1:50" s="128" customFormat="1" ht="39" customHeight="1">
      <c r="A31" s="128">
        <v>29</v>
      </c>
      <c r="B31" s="129">
        <v>45776</v>
      </c>
      <c r="C31" s="129">
        <v>45806</v>
      </c>
      <c r="D31" s="129">
        <v>45837</v>
      </c>
      <c r="E31" s="129">
        <v>45867</v>
      </c>
      <c r="F31" s="129">
        <v>45898</v>
      </c>
      <c r="G31" s="129">
        <v>45929</v>
      </c>
      <c r="H31" s="129">
        <v>45959</v>
      </c>
      <c r="I31" s="129">
        <v>45990</v>
      </c>
      <c r="J31" s="129">
        <v>46020</v>
      </c>
      <c r="K31" s="129">
        <v>46051</v>
      </c>
      <c r="L31" s="129">
        <v>46082</v>
      </c>
      <c r="M31" s="129">
        <v>46110</v>
      </c>
      <c r="N31" s="128">
        <v>1</v>
      </c>
      <c r="O31" s="128">
        <v>0</v>
      </c>
      <c r="P31" s="128">
        <v>1</v>
      </c>
      <c r="Q31" s="128">
        <v>0</v>
      </c>
      <c r="R31" s="128">
        <v>0</v>
      </c>
      <c r="S31" s="128">
        <v>0</v>
      </c>
      <c r="T31" s="128">
        <v>0</v>
      </c>
      <c r="U31" s="128">
        <v>1</v>
      </c>
      <c r="V31" s="128">
        <v>0</v>
      </c>
      <c r="W31" s="128">
        <v>0</v>
      </c>
      <c r="Y31" s="128">
        <v>1</v>
      </c>
      <c r="AA31" s="130" t="s">
        <v>269</v>
      </c>
      <c r="AB31" s="133"/>
      <c r="AC31" s="132" t="s">
        <v>270</v>
      </c>
      <c r="AD31" s="133"/>
      <c r="AE31" s="132" t="s">
        <v>271</v>
      </c>
      <c r="AF31" s="133"/>
      <c r="AG31" s="132" t="s">
        <v>269</v>
      </c>
      <c r="AH31" s="133"/>
      <c r="AI31" s="132" t="s">
        <v>272</v>
      </c>
      <c r="AJ31" s="133"/>
      <c r="AK31" s="132" t="s">
        <v>273</v>
      </c>
      <c r="AL31" s="133"/>
      <c r="AM31" s="132" t="s">
        <v>274</v>
      </c>
      <c r="AN31" s="133"/>
      <c r="AO31" s="132" t="s">
        <v>275</v>
      </c>
      <c r="AP31" s="133"/>
      <c r="AQ31" s="132" t="s">
        <v>273</v>
      </c>
      <c r="AR31" s="133"/>
      <c r="AS31" s="132" t="s">
        <v>270</v>
      </c>
      <c r="AT31" s="133"/>
      <c r="AU31" s="132" t="s">
        <v>75</v>
      </c>
      <c r="AV31" s="133"/>
      <c r="AW31" s="132" t="s">
        <v>271</v>
      </c>
      <c r="AX31" s="134"/>
    </row>
    <row r="32" spans="1:50" s="128" customFormat="1" ht="39" customHeight="1">
      <c r="A32" s="128">
        <v>30</v>
      </c>
      <c r="B32" s="129">
        <v>45777</v>
      </c>
      <c r="C32" s="129">
        <v>45807</v>
      </c>
      <c r="D32" s="129">
        <v>45838</v>
      </c>
      <c r="E32" s="129">
        <v>45868</v>
      </c>
      <c r="F32" s="129">
        <v>45899</v>
      </c>
      <c r="G32" s="129">
        <v>45930</v>
      </c>
      <c r="H32" s="129">
        <v>45960</v>
      </c>
      <c r="I32" s="129">
        <v>45991</v>
      </c>
      <c r="J32" s="129">
        <v>46021</v>
      </c>
      <c r="K32" s="129">
        <v>46052</v>
      </c>
      <c r="L32" s="129"/>
      <c r="M32" s="129">
        <v>46111</v>
      </c>
      <c r="N32" s="128">
        <v>0</v>
      </c>
      <c r="O32" s="128">
        <v>0</v>
      </c>
      <c r="P32" s="128">
        <v>0</v>
      </c>
      <c r="Q32" s="128">
        <v>0</v>
      </c>
      <c r="R32" s="128">
        <v>1</v>
      </c>
      <c r="S32" s="128">
        <v>0</v>
      </c>
      <c r="T32" s="128">
        <v>0</v>
      </c>
      <c r="U32" s="128">
        <v>1</v>
      </c>
      <c r="V32" s="128">
        <v>0</v>
      </c>
      <c r="W32" s="128">
        <v>0</v>
      </c>
      <c r="Y32" s="128">
        <v>0</v>
      </c>
      <c r="AA32" s="130" t="s">
        <v>276</v>
      </c>
      <c r="AB32" s="133"/>
      <c r="AC32" s="132" t="s">
        <v>277</v>
      </c>
      <c r="AD32" s="133"/>
      <c r="AE32" s="132" t="s">
        <v>278</v>
      </c>
      <c r="AF32" s="133"/>
      <c r="AG32" s="132" t="s">
        <v>276</v>
      </c>
      <c r="AH32" s="133"/>
      <c r="AI32" s="132" t="s">
        <v>279</v>
      </c>
      <c r="AJ32" s="133"/>
      <c r="AK32" s="132" t="s">
        <v>280</v>
      </c>
      <c r="AL32" s="133"/>
      <c r="AM32" s="132" t="s">
        <v>281</v>
      </c>
      <c r="AN32" s="133"/>
      <c r="AO32" s="132" t="s">
        <v>282</v>
      </c>
      <c r="AP32" s="133"/>
      <c r="AQ32" s="132" t="s">
        <v>280</v>
      </c>
      <c r="AR32" s="133"/>
      <c r="AS32" s="132" t="s">
        <v>277</v>
      </c>
      <c r="AT32" s="133"/>
      <c r="AU32" s="132" t="s">
        <v>283</v>
      </c>
      <c r="AV32" s="133"/>
      <c r="AW32" s="132" t="s">
        <v>278</v>
      </c>
      <c r="AX32" s="134"/>
    </row>
    <row r="33" spans="1:50" s="128" customFormat="1" ht="39" customHeight="1" thickBot="1">
      <c r="A33" s="128">
        <v>31</v>
      </c>
      <c r="C33" s="129">
        <v>45808</v>
      </c>
      <c r="D33" s="129"/>
      <c r="E33" s="129">
        <v>45869</v>
      </c>
      <c r="F33" s="129">
        <v>45900</v>
      </c>
      <c r="G33" s="129"/>
      <c r="H33" s="129">
        <v>45961</v>
      </c>
      <c r="I33" s="129"/>
      <c r="J33" s="129">
        <v>46022</v>
      </c>
      <c r="K33" s="129">
        <v>46053</v>
      </c>
      <c r="L33" s="129"/>
      <c r="M33" s="129">
        <v>46112</v>
      </c>
      <c r="O33" s="128">
        <v>1</v>
      </c>
      <c r="Q33" s="128">
        <v>0</v>
      </c>
      <c r="R33" s="128">
        <v>1</v>
      </c>
      <c r="T33" s="128">
        <v>0</v>
      </c>
      <c r="V33" s="128">
        <v>0</v>
      </c>
      <c r="W33" s="128">
        <v>1</v>
      </c>
      <c r="Y33" s="128">
        <v>0</v>
      </c>
      <c r="AA33" s="135" t="s">
        <v>283</v>
      </c>
      <c r="AB33" s="136"/>
      <c r="AC33" s="137" t="s">
        <v>284</v>
      </c>
      <c r="AD33" s="136"/>
      <c r="AE33" s="137" t="s">
        <v>283</v>
      </c>
      <c r="AF33" s="136"/>
      <c r="AG33" s="137" t="s">
        <v>285</v>
      </c>
      <c r="AH33" s="136"/>
      <c r="AI33" s="137" t="s">
        <v>286</v>
      </c>
      <c r="AJ33" s="136"/>
      <c r="AK33" s="137" t="s">
        <v>283</v>
      </c>
      <c r="AL33" s="136"/>
      <c r="AM33" s="137" t="s">
        <v>287</v>
      </c>
      <c r="AN33" s="136"/>
      <c r="AO33" s="137" t="s">
        <v>283</v>
      </c>
      <c r="AP33" s="136"/>
      <c r="AQ33" s="137" t="s">
        <v>288</v>
      </c>
      <c r="AR33" s="136"/>
      <c r="AS33" s="137" t="s">
        <v>284</v>
      </c>
      <c r="AT33" s="136"/>
      <c r="AU33" s="137" t="s">
        <v>283</v>
      </c>
      <c r="AV33" s="136"/>
      <c r="AW33" s="137" t="s">
        <v>289</v>
      </c>
      <c r="AX33" s="138"/>
    </row>
    <row r="34" spans="1:50" ht="17.25">
      <c r="AH34" s="139"/>
      <c r="AT34" s="139"/>
    </row>
  </sheetData>
  <mergeCells count="13">
    <mergeCell ref="AW2:AX2"/>
    <mergeCell ref="AK2:AL2"/>
    <mergeCell ref="AM2:AN2"/>
    <mergeCell ref="AO2:AP2"/>
    <mergeCell ref="AQ2:AR2"/>
    <mergeCell ref="AS2:AT2"/>
    <mergeCell ref="AU2:AV2"/>
    <mergeCell ref="AI2:AJ2"/>
    <mergeCell ref="AA1:AB1"/>
    <mergeCell ref="AA2:AB2"/>
    <mergeCell ref="AC2:AD2"/>
    <mergeCell ref="AE2:AF2"/>
    <mergeCell ref="AG2:AH2"/>
  </mergeCells>
  <phoneticPr fontId="1"/>
  <conditionalFormatting sqref="AU32:AV33">
    <cfRule type="expression" dxfId="29" priority="1" stopIfTrue="1">
      <formula>$X32</formula>
    </cfRule>
  </conditionalFormatting>
  <conditionalFormatting sqref="AK33:AL33">
    <cfRule type="expression" dxfId="28" priority="2" stopIfTrue="1">
      <formula>$S33</formula>
    </cfRule>
  </conditionalFormatting>
  <conditionalFormatting sqref="AA3:AB32">
    <cfRule type="expression" dxfId="27" priority="3" stopIfTrue="1">
      <formula>$N3</formula>
    </cfRule>
  </conditionalFormatting>
  <conditionalFormatting sqref="AC3:AD33">
    <cfRule type="expression" dxfId="26" priority="4" stopIfTrue="1">
      <formula>$O3</formula>
    </cfRule>
  </conditionalFormatting>
  <conditionalFormatting sqref="AE3:AF32">
    <cfRule type="expression" dxfId="25" priority="5" stopIfTrue="1">
      <formula>$P3</formula>
    </cfRule>
  </conditionalFormatting>
  <conditionalFormatting sqref="AG3:AH33">
    <cfRule type="expression" dxfId="24" priority="6" stopIfTrue="1">
      <formula>$Q3</formula>
    </cfRule>
  </conditionalFormatting>
  <conditionalFormatting sqref="AI3:AJ33">
    <cfRule type="expression" dxfId="23" priority="7" stopIfTrue="1">
      <formula>$R3</formula>
    </cfRule>
  </conditionalFormatting>
  <conditionalFormatting sqref="AK3:AL32">
    <cfRule type="expression" dxfId="22" priority="8" stopIfTrue="1">
      <formula>$S3</formula>
    </cfRule>
  </conditionalFormatting>
  <conditionalFormatting sqref="AM3:AN33">
    <cfRule type="expression" dxfId="21" priority="9" stopIfTrue="1">
      <formula>$T3</formula>
    </cfRule>
  </conditionalFormatting>
  <conditionalFormatting sqref="AO3:AP32">
    <cfRule type="expression" dxfId="20" priority="10" stopIfTrue="1">
      <formula>$U3</formula>
    </cfRule>
  </conditionalFormatting>
  <conditionalFormatting sqref="AQ3:AR33">
    <cfRule type="expression" dxfId="19" priority="11" stopIfTrue="1">
      <formula>$V3</formula>
    </cfRule>
  </conditionalFormatting>
  <conditionalFormatting sqref="AS3:AT33">
    <cfRule type="expression" dxfId="18" priority="12" stopIfTrue="1">
      <formula>$W3</formula>
    </cfRule>
  </conditionalFormatting>
  <conditionalFormatting sqref="AU3:AV31">
    <cfRule type="expression" dxfId="17" priority="13" stopIfTrue="1">
      <formula>$X3</formula>
    </cfRule>
  </conditionalFormatting>
  <conditionalFormatting sqref="AW3:AX33">
    <cfRule type="expression" dxfId="16" priority="14" stopIfTrue="1">
      <formula>$Y3</formula>
    </cfRule>
  </conditionalFormatting>
  <printOptions horizontalCentered="1" verticalCentered="1"/>
  <pageMargins left="0.39370078740157483" right="0" top="0" bottom="0" header="0" footer="0"/>
  <pageSetup paperSize="8" scale="47" orientation="landscape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fitToPage="1"/>
  </sheetPr>
  <dimension ref="A1:T51"/>
  <sheetViews>
    <sheetView view="pageBreakPreview" zoomScale="75" zoomScaleNormal="100" zoomScaleSheetLayoutView="75" workbookViewId="0">
      <selection activeCell="H2" sqref="H2"/>
    </sheetView>
  </sheetViews>
  <sheetFormatPr defaultRowHeight="18.75"/>
  <cols>
    <col min="1" max="1" width="2.625" customWidth="1"/>
    <col min="2" max="2" width="3.625" bestFit="1" customWidth="1"/>
    <col min="3" max="7" width="13.625" style="1" customWidth="1"/>
    <col min="8" max="8" width="3.375" style="1" customWidth="1"/>
    <col min="9" max="9" width="9" style="1" customWidth="1"/>
    <col min="10" max="10" width="20" customWidth="1"/>
    <col min="11" max="11" width="9" customWidth="1"/>
    <col min="12" max="12" width="20" customWidth="1"/>
    <col min="13" max="13" width="1.75" customWidth="1"/>
    <col min="16" max="16" width="13.875" bestFit="1" customWidth="1"/>
    <col min="17" max="17" width="3.625" customWidth="1"/>
    <col min="18" max="18" width="25.25" customWidth="1"/>
    <col min="19" max="19" width="3.625" customWidth="1"/>
    <col min="20" max="20" width="25.25" customWidth="1"/>
  </cols>
  <sheetData>
    <row r="1" spans="1:20" ht="9" customHeight="1">
      <c r="T1">
        <v>18</v>
      </c>
    </row>
    <row r="2" spans="1:20" ht="24">
      <c r="A2" s="183" t="s">
        <v>29</v>
      </c>
      <c r="B2" s="115" t="s">
        <v>30</v>
      </c>
      <c r="C2" s="116">
        <v>1</v>
      </c>
      <c r="D2" s="117" t="s">
        <v>31</v>
      </c>
      <c r="E2" s="182" t="s">
        <v>29</v>
      </c>
      <c r="F2" s="181" t="s">
        <v>32</v>
      </c>
      <c r="G2" s="118" t="s">
        <v>33</v>
      </c>
      <c r="H2" s="182" t="s">
        <v>32</v>
      </c>
      <c r="P2">
        <f>O4-1</f>
        <v>13</v>
      </c>
    </row>
    <row r="3" spans="1:20" ht="17.25" customHeight="1" thickBot="1">
      <c r="O3" t="s">
        <v>34</v>
      </c>
    </row>
    <row r="4" spans="1:20">
      <c r="B4" s="2"/>
      <c r="C4" s="70" t="s">
        <v>35</v>
      </c>
      <c r="D4" s="3" t="s">
        <v>36</v>
      </c>
      <c r="E4" s="3" t="s">
        <v>37</v>
      </c>
      <c r="F4" s="3" t="s">
        <v>38</v>
      </c>
      <c r="G4" s="4" t="s">
        <v>39</v>
      </c>
      <c r="H4"/>
      <c r="I4"/>
      <c r="O4">
        <f>WEEKNUM(DATE(年間!$B$1,年間!$B$2,1), 2)</f>
        <v>14</v>
      </c>
      <c r="P4" t="s">
        <v>31</v>
      </c>
    </row>
    <row r="5" spans="1:20" ht="19.5" thickBot="1">
      <c r="B5" s="5"/>
      <c r="C5" s="6">
        <f>DATE(年間!$B$1, 1, 1) + (P2 * 7 - WEEKDAY(DATE(年間!$B$1, 1, 1), 1)) + 2</f>
        <v>45747</v>
      </c>
      <c r="D5" s="6">
        <f t="shared" ref="D5:G5" si="0">C5+1</f>
        <v>45748</v>
      </c>
      <c r="E5" s="6">
        <f t="shared" si="0"/>
        <v>45749</v>
      </c>
      <c r="F5" s="6">
        <f t="shared" si="0"/>
        <v>45750</v>
      </c>
      <c r="G5" s="7">
        <f t="shared" si="0"/>
        <v>45751</v>
      </c>
      <c r="H5"/>
      <c r="I5" s="119"/>
    </row>
    <row r="6" spans="1:20" ht="33" customHeight="1">
      <c r="B6" s="8"/>
      <c r="C6" s="72"/>
      <c r="D6" s="69"/>
      <c r="E6" s="69"/>
      <c r="F6" s="69"/>
      <c r="G6" s="73"/>
      <c r="H6"/>
      <c r="I6" s="119"/>
      <c r="N6" s="120"/>
    </row>
    <row r="7" spans="1:20" s="1" customFormat="1" ht="51.75" customHeight="1">
      <c r="B7" s="9" t="s">
        <v>40</v>
      </c>
      <c r="C7" s="71"/>
      <c r="D7" s="67"/>
      <c r="E7" s="68"/>
      <c r="F7" s="68"/>
      <c r="G7" s="74"/>
      <c r="I7" s="66"/>
      <c r="J7"/>
      <c r="K7"/>
      <c r="L7"/>
    </row>
    <row r="8" spans="1:20" s="1" customFormat="1" ht="22.5" customHeight="1">
      <c r="B8" s="191">
        <v>1</v>
      </c>
      <c r="C8" s="98" t="str">
        <f>IF(時間割!J3=0,"",時間割!J3)</f>
        <v>２年５組</v>
      </c>
      <c r="D8" s="99" t="str">
        <f>IF(時間割!K3=0,"",時間割!K3)</f>
        <v>３年１組</v>
      </c>
      <c r="E8" s="100" t="str">
        <f>IF(時間割!L3=0,"",時間割!L3)</f>
        <v/>
      </c>
      <c r="F8" s="100" t="str">
        <f>IF(時間割!M3=0,"",時間割!M3)</f>
        <v>３年５組</v>
      </c>
      <c r="G8" s="101" t="str">
        <f>IF(時間割!N3=0,"",時間割!N3)</f>
        <v/>
      </c>
      <c r="I8" s="119"/>
      <c r="J8"/>
      <c r="K8"/>
      <c r="L8"/>
    </row>
    <row r="9" spans="1:20" s="1" customFormat="1" ht="35.25" customHeight="1">
      <c r="B9" s="192"/>
      <c r="C9" s="102"/>
      <c r="D9" s="103"/>
      <c r="E9" s="104"/>
      <c r="F9" s="104"/>
      <c r="G9" s="105"/>
      <c r="I9" s="119"/>
      <c r="J9"/>
      <c r="K9"/>
      <c r="L9"/>
    </row>
    <row r="10" spans="1:20" s="1" customFormat="1" ht="23.1" customHeight="1">
      <c r="B10" s="191">
        <v>2</v>
      </c>
      <c r="C10" s="106" t="str">
        <f>IF(時間割!J5=0,"",時間割!J5)</f>
        <v/>
      </c>
      <c r="D10" s="100" t="str">
        <f>IF(時間割!K5=0,"",時間割!K5)</f>
        <v>２年１組</v>
      </c>
      <c r="E10" s="100" t="str">
        <f>IF(時間割!L5=0,"",時間割!L5)</f>
        <v>２年３組</v>
      </c>
      <c r="F10" s="100" t="str">
        <f>IF(時間割!M5=0,"",時間割!M5)</f>
        <v>２年４組</v>
      </c>
      <c r="G10" s="101" t="str">
        <f>IF(時間割!N5=0,"",時間割!N5)</f>
        <v>３年４組</v>
      </c>
      <c r="I10" s="119"/>
      <c r="J10"/>
      <c r="K10"/>
      <c r="L10"/>
    </row>
    <row r="11" spans="1:20" s="1" customFormat="1" ht="35.25" customHeight="1">
      <c r="B11" s="192"/>
      <c r="C11" s="107"/>
      <c r="D11" s="104"/>
      <c r="E11" s="104"/>
      <c r="F11" s="104"/>
      <c r="G11" s="105"/>
      <c r="I11" s="119"/>
      <c r="J11"/>
      <c r="K11"/>
      <c r="L11"/>
    </row>
    <row r="12" spans="1:20" s="1" customFormat="1" ht="23.1" customHeight="1">
      <c r="B12" s="191">
        <v>3</v>
      </c>
      <c r="C12" s="106" t="str">
        <f>IF(時間割!J7=0,"",時間割!J7)</f>
        <v>２年６組</v>
      </c>
      <c r="D12" s="100" t="str">
        <f>IF(時間割!K7=0,"",時間割!K7)</f>
        <v>２年２組</v>
      </c>
      <c r="E12" s="100" t="str">
        <f>IF(時間割!L7=0,"",時間割!L7)</f>
        <v>３年２組</v>
      </c>
      <c r="F12" s="100" t="str">
        <f>IF(時間割!M7=0,"",時間割!M7)</f>
        <v>特別支援</v>
      </c>
      <c r="G12" s="101" t="str">
        <f>IF(時間割!N7=0,"",時間割!N7)</f>
        <v>３年６組</v>
      </c>
      <c r="I12" s="119"/>
      <c r="J12"/>
      <c r="K12"/>
      <c r="L12"/>
    </row>
    <row r="13" spans="1:20" s="1" customFormat="1" ht="35.25" customHeight="1">
      <c r="B13" s="192"/>
      <c r="C13" s="107"/>
      <c r="D13" s="104"/>
      <c r="E13" s="104"/>
      <c r="F13" s="104"/>
      <c r="G13" s="105"/>
      <c r="I13" s="119"/>
      <c r="J13"/>
      <c r="K13"/>
      <c r="L13"/>
    </row>
    <row r="14" spans="1:20" s="1" customFormat="1" ht="22.5" customHeight="1">
      <c r="B14" s="191">
        <v>4</v>
      </c>
      <c r="C14" s="106" t="str">
        <f>IF(時間割!J9=0,"",時間割!J9)</f>
        <v/>
      </c>
      <c r="D14" s="100" t="str">
        <f>IF(時間割!K9=0,"",時間割!K9)</f>
        <v/>
      </c>
      <c r="E14" s="100" t="str">
        <f>IF(時間割!L9=0,"",時間割!L9)</f>
        <v/>
      </c>
      <c r="F14" s="100" t="str">
        <f>IF(時間割!M9=0,"",時間割!M9)</f>
        <v/>
      </c>
      <c r="G14" s="101" t="str">
        <f>IF(時間割!N9=0,"",時間割!N9)</f>
        <v>３年３組</v>
      </c>
      <c r="I14" s="119"/>
      <c r="K14" s="119"/>
    </row>
    <row r="15" spans="1:20" s="1" customFormat="1" ht="35.25" customHeight="1">
      <c r="B15" s="192"/>
      <c r="C15" s="108"/>
      <c r="D15" s="109"/>
      <c r="E15" s="109"/>
      <c r="F15" s="109"/>
      <c r="G15" s="110"/>
      <c r="I15" s="119"/>
      <c r="K15"/>
    </row>
    <row r="16" spans="1:20" s="1" customFormat="1" ht="23.25" customHeight="1">
      <c r="B16" s="9" t="s">
        <v>41</v>
      </c>
      <c r="C16" s="111"/>
      <c r="D16" s="112"/>
      <c r="E16" s="112"/>
      <c r="F16" s="112"/>
      <c r="G16" s="113"/>
      <c r="I16" s="66"/>
    </row>
    <row r="17" spans="2:20" s="1" customFormat="1" ht="23.1" customHeight="1">
      <c r="B17" s="191">
        <v>5</v>
      </c>
      <c r="C17" s="106" t="str">
        <f>IF(時間割!J12=0,"",時間割!J12)</f>
        <v>特別支援</v>
      </c>
      <c r="D17" s="99" t="str">
        <f>IF(時間割!K12=0,"",時間割!K12)</f>
        <v>外国人</v>
      </c>
      <c r="E17" s="100" t="str">
        <f>IF(時間割!L12=0,"",時間割!L12)</f>
        <v>外国人</v>
      </c>
      <c r="F17" s="100" t="str">
        <f>IF(時間割!M12=0,"",時間割!M12)</f>
        <v/>
      </c>
      <c r="G17" s="101" t="str">
        <f>IF(時間割!N12=0,"",時間割!N12)</f>
        <v/>
      </c>
      <c r="I17" s="66"/>
    </row>
    <row r="18" spans="2:20" s="1" customFormat="1" ht="35.25" customHeight="1">
      <c r="B18" s="192"/>
      <c r="C18" s="102"/>
      <c r="D18" s="103"/>
      <c r="E18" s="104"/>
      <c r="F18" s="104"/>
      <c r="G18" s="105"/>
    </row>
    <row r="19" spans="2:20" s="1" customFormat="1" ht="23.1" customHeight="1">
      <c r="B19" s="191">
        <v>6</v>
      </c>
      <c r="C19" s="106" t="str">
        <f>IF(時間割!J14=0,"",時間割!J14)</f>
        <v/>
      </c>
      <c r="D19" s="99" t="str">
        <f>IF(時間割!K14=0,"",時間割!K14)</f>
        <v/>
      </c>
      <c r="E19" s="100" t="str">
        <f>IF(時間割!L14=0,"",時間割!L14)</f>
        <v/>
      </c>
      <c r="F19" s="100" t="str">
        <f>IF(時間割!M14=0,"",時間割!M14)</f>
        <v/>
      </c>
      <c r="G19" s="101" t="str">
        <f>IF(時間割!N14=0,"",時間割!N14)</f>
        <v/>
      </c>
    </row>
    <row r="20" spans="2:20" s="1" customFormat="1" ht="35.25" customHeight="1">
      <c r="B20" s="192"/>
      <c r="C20" s="107"/>
      <c r="D20" s="114"/>
      <c r="E20" s="104"/>
      <c r="F20" s="104"/>
      <c r="G20" s="105"/>
    </row>
    <row r="21" spans="2:20" s="1" customFormat="1" ht="37.5" customHeight="1" thickBot="1">
      <c r="B21" s="10" t="s">
        <v>42</v>
      </c>
      <c r="C21" s="76"/>
      <c r="D21" s="77"/>
      <c r="E21" s="77"/>
      <c r="F21" s="77"/>
      <c r="G21" s="78"/>
    </row>
    <row r="22" spans="2:20" ht="13.5" customHeight="1"/>
    <row r="27" spans="2:20" ht="19.5" thickBot="1"/>
    <row r="28" spans="2:20" ht="21" thickTop="1" thickBot="1">
      <c r="Q28" s="210" t="s">
        <v>43</v>
      </c>
      <c r="R28" s="211"/>
      <c r="S28" s="80"/>
      <c r="T28" s="82"/>
    </row>
    <row r="29" spans="2:20" ht="19.5" thickTop="1">
      <c r="Q29" s="88"/>
      <c r="R29" s="81"/>
      <c r="S29" s="79"/>
      <c r="T29" s="84"/>
    </row>
    <row r="30" spans="2:20">
      <c r="Q30" s="83"/>
      <c r="R30" s="79"/>
      <c r="S30" s="79"/>
      <c r="T30" s="84"/>
    </row>
    <row r="31" spans="2:20">
      <c r="Q31" s="83"/>
      <c r="R31" s="79"/>
      <c r="S31" s="79"/>
      <c r="T31" s="84"/>
    </row>
    <row r="32" spans="2:20">
      <c r="Q32" s="83"/>
      <c r="R32" s="79"/>
      <c r="S32" s="79"/>
      <c r="T32" s="84"/>
    </row>
    <row r="33" spans="9:20">
      <c r="Q33" s="83"/>
      <c r="R33" s="79"/>
      <c r="S33" s="79"/>
      <c r="T33" s="84"/>
    </row>
    <row r="34" spans="9:20" ht="19.5" thickBot="1">
      <c r="Q34" s="85"/>
      <c r="R34" s="86"/>
      <c r="S34" s="86"/>
      <c r="T34" s="87"/>
    </row>
    <row r="35" spans="9:20" ht="16.5" customHeight="1" thickTop="1">
      <c r="I35" s="209">
        <f>C5</f>
        <v>45747</v>
      </c>
      <c r="J35" s="207"/>
      <c r="K35" s="207"/>
      <c r="L35" s="208"/>
    </row>
    <row r="36" spans="9:20" ht="16.5" customHeight="1">
      <c r="I36" s="206"/>
      <c r="J36" s="204"/>
      <c r="K36" s="204"/>
      <c r="L36" s="205"/>
    </row>
    <row r="37" spans="9:20" ht="16.5" customHeight="1">
      <c r="I37" s="206"/>
      <c r="J37" s="204"/>
      <c r="K37" s="204"/>
      <c r="L37" s="205"/>
    </row>
    <row r="38" spans="9:20" ht="16.5" customHeight="1">
      <c r="I38" s="206">
        <f>I35+1</f>
        <v>45748</v>
      </c>
      <c r="J38" s="204"/>
      <c r="K38" s="204"/>
      <c r="L38" s="205"/>
    </row>
    <row r="39" spans="9:20" ht="16.5" customHeight="1">
      <c r="I39" s="206"/>
      <c r="J39" s="204"/>
      <c r="K39" s="204"/>
      <c r="L39" s="205"/>
    </row>
    <row r="40" spans="9:20" ht="16.5" customHeight="1">
      <c r="I40" s="206"/>
      <c r="J40" s="204"/>
      <c r="K40" s="204"/>
      <c r="L40" s="205"/>
    </row>
    <row r="41" spans="9:20" ht="16.5" customHeight="1">
      <c r="I41" s="206">
        <f>I38+1</f>
        <v>45749</v>
      </c>
      <c r="J41" s="204"/>
      <c r="K41" s="204"/>
      <c r="L41" s="205"/>
    </row>
    <row r="42" spans="9:20" ht="16.5" customHeight="1">
      <c r="I42" s="206"/>
      <c r="J42" s="204"/>
      <c r="K42" s="204"/>
      <c r="L42" s="205"/>
    </row>
    <row r="43" spans="9:20" ht="16.5" customHeight="1">
      <c r="I43" s="206"/>
      <c r="J43" s="204"/>
      <c r="K43" s="204"/>
      <c r="L43" s="205"/>
    </row>
    <row r="44" spans="9:20" ht="16.5" customHeight="1">
      <c r="I44" s="206">
        <f>I41+1</f>
        <v>45750</v>
      </c>
      <c r="J44" s="204"/>
      <c r="K44" s="204"/>
      <c r="L44" s="205"/>
    </row>
    <row r="45" spans="9:20" ht="16.5" customHeight="1">
      <c r="I45" s="206"/>
      <c r="J45" s="204"/>
      <c r="K45" s="204"/>
      <c r="L45" s="205"/>
    </row>
    <row r="46" spans="9:20" ht="16.5" customHeight="1">
      <c r="I46" s="206"/>
      <c r="J46" s="204"/>
      <c r="K46" s="204"/>
      <c r="L46" s="205"/>
    </row>
    <row r="47" spans="9:20" ht="16.5" customHeight="1">
      <c r="I47" s="206">
        <f>I44+1</f>
        <v>45751</v>
      </c>
      <c r="J47" s="204"/>
      <c r="K47" s="204"/>
      <c r="L47" s="205"/>
    </row>
    <row r="48" spans="9:20" ht="16.5" customHeight="1">
      <c r="I48" s="206"/>
      <c r="J48" s="204"/>
      <c r="K48" s="204"/>
      <c r="L48" s="205"/>
    </row>
    <row r="49" spans="9:12" ht="16.5" customHeight="1">
      <c r="I49" s="206"/>
      <c r="J49" s="204"/>
      <c r="K49" s="204"/>
      <c r="L49" s="205"/>
    </row>
    <row r="50" spans="9:12" ht="16.5" customHeight="1">
      <c r="I50" s="206">
        <f>I47+1</f>
        <v>45752</v>
      </c>
      <c r="J50" s="204"/>
      <c r="K50" s="213">
        <f>I50+1</f>
        <v>45753</v>
      </c>
      <c r="L50" s="205"/>
    </row>
    <row r="51" spans="9:12" ht="16.5" customHeight="1" thickBot="1">
      <c r="I51" s="216"/>
      <c r="J51" s="215"/>
      <c r="K51" s="214"/>
      <c r="L51" s="212"/>
    </row>
  </sheetData>
  <mergeCells count="21">
    <mergeCell ref="L50:L51"/>
    <mergeCell ref="K50:K51"/>
    <mergeCell ref="J50:J51"/>
    <mergeCell ref="I50:I51"/>
    <mergeCell ref="I47:I49"/>
    <mergeCell ref="J44:L46"/>
    <mergeCell ref="I44:I46"/>
    <mergeCell ref="J47:L49"/>
    <mergeCell ref="J41:L43"/>
    <mergeCell ref="I41:I43"/>
    <mergeCell ref="J38:L40"/>
    <mergeCell ref="I38:I40"/>
    <mergeCell ref="J35:L37"/>
    <mergeCell ref="I35:I37"/>
    <mergeCell ref="Q28:R28"/>
    <mergeCell ref="B17:B18"/>
    <mergeCell ref="B19:B20"/>
    <mergeCell ref="B8:B9"/>
    <mergeCell ref="B10:B11"/>
    <mergeCell ref="B12:B13"/>
    <mergeCell ref="B14:B15"/>
  </mergeCells>
  <phoneticPr fontId="1"/>
  <pageMargins left="0" right="0" top="0" bottom="0" header="0" footer="0"/>
  <pageSetup paperSize="9" scale="97" fitToHeight="0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73CA5A-21A6-4A47-BBEA-DDB84C4F0FF2}">
            <xm:f>COUNTIF(祝日リスト!$A:$Z,C$5)&gt;0</xm:f>
            <x14:dxf>
              <font>
                <color theme="1"/>
              </font>
              <fill>
                <patternFill>
                  <bgColor theme="0" tint="-0.14996795556505021"/>
                </patternFill>
              </fill>
            </x14:dxf>
          </x14:cfRule>
          <xm:sqref>C4:G21</xm:sqref>
        </x14:conditionalFormatting>
        <x14:conditionalFormatting xmlns:xm="http://schemas.microsoft.com/office/excel/2006/main">
          <x14:cfRule type="expression" priority="2" id="{0C97EC1A-D10C-4435-B4E6-A657BA9EF241}">
            <xm:f>COUNTIF(祝日リスト!$A:$Z,$I35)&gt;0</xm:f>
            <x14:dxf>
              <font>
                <color theme="1"/>
              </font>
              <fill>
                <patternFill>
                  <bgColor theme="0" tint="-0.14996795556505021"/>
                </patternFill>
              </fill>
            </x14:dxf>
          </x14:cfRule>
          <xm:sqref>I35:J35 I38:J38 I41:J41 I44:J44 I47:J47</xm:sqref>
        </x14:conditionalFormatting>
        <x14:conditionalFormatting xmlns:xm="http://schemas.microsoft.com/office/excel/2006/main">
          <x14:cfRule type="expression" priority="17" stopIfTrue="1" id="{8ABE69F8-B9D5-4996-824D-277A937CBEF2}">
            <xm:f>COUNTIF(祝日リスト!$A:$Z,C$5)&gt;0</xm:f>
            <x14:dxf>
              <numFmt numFmtId="187" formatCode=";;;"/>
            </x14:dxf>
          </x14:cfRule>
          <x14:cfRule type="expression" priority="18" id="{142B10E9-4CF6-4B5F-9EF9-A70B7CBCC66B}">
            <xm:f>AND(C8&lt;&gt;"",COUNTIF(時間割!$F:$F,C8)&gt;0)</xm:f>
            <x14:dxf>
              <numFmt numFmtId="186" formatCode="&quot;　&quot;@"/>
              <fill>
                <patternFill>
                  <bgColor theme="0" tint="-4.9989318521683403E-2"/>
                </patternFill>
              </fill>
            </x14:dxf>
          </x14:cfRule>
          <x14:cfRule type="expression" priority="19" id="{A92C12CD-75C9-4113-8FF1-7BDBC3BADF9D}">
            <xm:f>AND(C8&lt;&gt;"",COUNTIF(時間割!$E:$E,C8)&gt;0)</xm:f>
            <x14:dxf>
              <numFmt numFmtId="186" formatCode="&quot;　&quot;@"/>
              <fill>
                <patternFill>
                  <bgColor rgb="FFFFFF99"/>
                </patternFill>
              </fill>
            </x14:dxf>
          </x14:cfRule>
          <x14:cfRule type="expression" priority="20" id="{B67FF3A2-87FA-49BC-ACE2-92E23BD91553}">
            <xm:f>AND(C8&lt;&gt;"",COUNTIF(時間割!$D:$D,C8)&gt;0)</xm:f>
            <x14:dxf>
              <numFmt numFmtId="186" formatCode="&quot;　&quot;@"/>
              <fill>
                <patternFill>
                  <bgColor rgb="FFCCFF99"/>
                </patternFill>
              </fill>
            </x14:dxf>
          </x14:cfRule>
          <x14:cfRule type="expression" priority="21" id="{BE83B0D3-2F89-44E9-89FB-D51E678B7866}">
            <xm:f>AND(C8&lt;&gt;"",COUNTIF(時間割!$C:$C,C8)&gt;0)</xm:f>
            <x14:dxf>
              <numFmt numFmtId="186" formatCode="&quot;　&quot;@"/>
              <fill>
                <patternFill>
                  <bgColor theme="4" tint="0.59996337778862885"/>
                </patternFill>
              </fill>
            </x14:dxf>
          </x14:cfRule>
          <x14:cfRule type="expression" priority="22" id="{56D6B555-CDD9-489C-8F91-928721A02C68}">
            <xm:f>AND(C8&lt;&gt;"",COUNTIF(時間割!$B:$B,C8)&gt;0)</xm:f>
            <x14:dxf>
              <numFmt numFmtId="186" formatCode="&quot;　&quot;@"/>
              <fill>
                <patternFill>
                  <bgColor rgb="FFFFCCCC"/>
                </patternFill>
              </fill>
            </x14:dxf>
          </x14:cfRule>
          <xm:sqref>C8:G20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T51"/>
  <sheetViews>
    <sheetView view="pageBreakPreview" zoomScale="75" zoomScaleNormal="100" zoomScaleSheetLayoutView="75" workbookViewId="0">
      <selection activeCell="A2" sqref="A2"/>
    </sheetView>
  </sheetViews>
  <sheetFormatPr defaultRowHeight="18.75"/>
  <cols>
    <col min="1" max="1" width="2.625" customWidth="1"/>
    <col min="2" max="2" width="3.625" bestFit="1" customWidth="1"/>
    <col min="3" max="7" width="13.625" style="1" customWidth="1"/>
    <col min="8" max="8" width="3.375" style="1" customWidth="1"/>
    <col min="9" max="9" width="9" style="1" customWidth="1"/>
    <col min="10" max="10" width="20" customWidth="1"/>
    <col min="11" max="11" width="9" customWidth="1"/>
    <col min="12" max="12" width="20" customWidth="1"/>
    <col min="13" max="13" width="1.75" customWidth="1"/>
    <col min="16" max="16" width="13.875" bestFit="1" customWidth="1"/>
    <col min="17" max="17" width="3.625" customWidth="1"/>
    <col min="18" max="18" width="25.25" customWidth="1"/>
    <col min="19" max="19" width="3.625" customWidth="1"/>
    <col min="20" max="20" width="25.25" customWidth="1"/>
  </cols>
  <sheetData>
    <row r="1" spans="1:20" ht="9" customHeight="1">
      <c r="T1">
        <v>18</v>
      </c>
    </row>
    <row r="2" spans="1:20" ht="24">
      <c r="A2" s="183" t="s">
        <v>29</v>
      </c>
      <c r="B2" s="172" t="s">
        <v>294</v>
      </c>
      <c r="C2" s="172"/>
      <c r="D2" s="172"/>
      <c r="E2" s="182" t="s">
        <v>29</v>
      </c>
      <c r="F2" s="181" t="s">
        <v>32</v>
      </c>
      <c r="G2" s="118" t="s">
        <v>33</v>
      </c>
      <c r="H2" s="182" t="s">
        <v>32</v>
      </c>
      <c r="P2">
        <f>O4-1</f>
        <v>13</v>
      </c>
    </row>
    <row r="3" spans="1:20" ht="17.25" customHeight="1">
      <c r="O3" t="s">
        <v>34</v>
      </c>
    </row>
    <row r="4" spans="1:20">
      <c r="H4"/>
      <c r="I4"/>
      <c r="O4">
        <f>WEEKNUM(DATE(年間!$B$1,年間!$B$2,1), 2)</f>
        <v>14</v>
      </c>
      <c r="P4" t="s">
        <v>31</v>
      </c>
    </row>
    <row r="5" spans="1:20">
      <c r="C5" s="167"/>
      <c r="D5" s="167"/>
      <c r="E5" s="167"/>
      <c r="F5" s="167"/>
      <c r="G5" s="167"/>
      <c r="H5"/>
      <c r="I5" s="119"/>
    </row>
    <row r="6" spans="1:20" ht="33" customHeight="1">
      <c r="H6"/>
      <c r="I6" s="119"/>
      <c r="N6" s="120"/>
    </row>
    <row r="7" spans="1:20" s="1" customFormat="1" ht="51.75" customHeight="1">
      <c r="I7" s="66"/>
      <c r="J7"/>
      <c r="K7"/>
      <c r="L7"/>
    </row>
    <row r="8" spans="1:20" s="1" customFormat="1" ht="22.5" customHeight="1">
      <c r="B8" s="217"/>
      <c r="C8" s="168"/>
      <c r="D8" s="169"/>
      <c r="E8" s="169"/>
      <c r="F8" s="169"/>
      <c r="G8" s="169"/>
      <c r="I8" s="119"/>
      <c r="J8"/>
      <c r="K8"/>
      <c r="L8"/>
    </row>
    <row r="9" spans="1:20" s="1" customFormat="1" ht="35.25" customHeight="1">
      <c r="B9" s="217"/>
      <c r="C9" s="170"/>
      <c r="D9" s="170"/>
      <c r="E9" s="170"/>
      <c r="F9" s="170"/>
      <c r="G9" s="170"/>
      <c r="I9" s="119"/>
      <c r="J9"/>
      <c r="K9"/>
      <c r="L9"/>
    </row>
    <row r="10" spans="1:20" s="1" customFormat="1" ht="23.1" customHeight="1">
      <c r="B10" s="217"/>
      <c r="C10" s="169"/>
      <c r="D10" s="169"/>
      <c r="E10" s="169"/>
      <c r="F10" s="169"/>
      <c r="G10" s="169"/>
      <c r="I10" s="119"/>
      <c r="J10"/>
      <c r="K10"/>
      <c r="L10"/>
    </row>
    <row r="11" spans="1:20" s="1" customFormat="1" ht="35.25" customHeight="1">
      <c r="B11" s="217"/>
      <c r="C11" s="170"/>
      <c r="D11" s="170"/>
      <c r="E11" s="170"/>
      <c r="F11" s="170"/>
      <c r="G11" s="170"/>
      <c r="I11" s="119"/>
      <c r="J11"/>
      <c r="K11"/>
      <c r="L11"/>
    </row>
    <row r="12" spans="1:20" s="1" customFormat="1" ht="23.1" customHeight="1">
      <c r="B12" s="217"/>
      <c r="C12" s="169"/>
      <c r="D12" s="169"/>
      <c r="E12" s="169"/>
      <c r="F12" s="169"/>
      <c r="G12" s="169"/>
      <c r="I12" s="119"/>
      <c r="J12"/>
      <c r="K12"/>
      <c r="L12"/>
    </row>
    <row r="13" spans="1:20" s="1" customFormat="1" ht="35.25" customHeight="1">
      <c r="B13" s="217"/>
      <c r="C13" s="170"/>
      <c r="D13" s="170"/>
      <c r="E13" s="170"/>
      <c r="F13" s="170"/>
      <c r="G13" s="170"/>
      <c r="I13" s="119"/>
      <c r="J13"/>
      <c r="K13"/>
      <c r="L13"/>
    </row>
    <row r="14" spans="1:20" s="1" customFormat="1" ht="22.5" customHeight="1">
      <c r="B14" s="217"/>
      <c r="C14" s="169"/>
      <c r="D14" s="169"/>
      <c r="E14" s="169"/>
      <c r="F14" s="169"/>
      <c r="G14" s="169"/>
      <c r="I14" s="119"/>
      <c r="K14" s="119"/>
    </row>
    <row r="15" spans="1:20" s="1" customFormat="1" ht="35.25" customHeight="1">
      <c r="B15" s="217"/>
      <c r="C15" s="169"/>
      <c r="D15" s="169"/>
      <c r="E15" s="169"/>
      <c r="F15" s="169"/>
      <c r="G15" s="169"/>
      <c r="I15" s="119"/>
      <c r="K15"/>
    </row>
    <row r="16" spans="1:20" s="1" customFormat="1" ht="23.25" customHeight="1">
      <c r="C16" s="170"/>
      <c r="D16" s="170"/>
      <c r="E16" s="170"/>
      <c r="F16" s="170"/>
      <c r="G16" s="170"/>
      <c r="I16" s="66"/>
    </row>
    <row r="17" spans="2:20" s="1" customFormat="1" ht="23.1" customHeight="1">
      <c r="B17" s="217"/>
      <c r="C17" s="169"/>
      <c r="D17" s="169"/>
      <c r="E17" s="169"/>
      <c r="F17" s="169"/>
      <c r="G17" s="169"/>
      <c r="I17" s="66"/>
    </row>
    <row r="18" spans="2:20" s="1" customFormat="1" ht="35.25" customHeight="1">
      <c r="B18" s="217"/>
      <c r="C18" s="170"/>
      <c r="D18" s="170"/>
      <c r="E18" s="170"/>
      <c r="F18" s="170"/>
      <c r="G18" s="170"/>
    </row>
    <row r="19" spans="2:20" s="1" customFormat="1" ht="23.1" customHeight="1">
      <c r="B19" s="217"/>
      <c r="C19" s="169"/>
      <c r="D19" s="169"/>
      <c r="E19" s="169"/>
      <c r="F19" s="169"/>
      <c r="G19" s="169"/>
    </row>
    <row r="20" spans="2:20" s="1" customFormat="1" ht="35.25" customHeight="1">
      <c r="B20" s="217"/>
      <c r="C20" s="170"/>
      <c r="D20" s="170"/>
      <c r="E20" s="170"/>
      <c r="F20" s="170"/>
      <c r="G20" s="170"/>
    </row>
    <row r="21" spans="2:20" s="1" customFormat="1" ht="37.5" customHeight="1">
      <c r="B21" s="171"/>
    </row>
    <row r="22" spans="2:20" ht="13.5" customHeight="1"/>
    <row r="27" spans="2:20" ht="19.5" thickBot="1"/>
    <row r="28" spans="2:20" ht="21" thickTop="1" thickBot="1">
      <c r="Q28" s="210" t="s">
        <v>43</v>
      </c>
      <c r="R28" s="211"/>
      <c r="S28" s="80"/>
      <c r="T28" s="82"/>
    </row>
    <row r="29" spans="2:20" ht="19.5" thickTop="1">
      <c r="Q29" s="88"/>
      <c r="R29" s="81"/>
      <c r="S29" s="79"/>
      <c r="T29" s="84"/>
    </row>
    <row r="30" spans="2:20">
      <c r="Q30" s="83"/>
      <c r="R30" s="79"/>
      <c r="S30" s="79"/>
      <c r="T30" s="84"/>
    </row>
    <row r="31" spans="2:20">
      <c r="Q31" s="83"/>
      <c r="R31" s="79"/>
      <c r="S31" s="79"/>
      <c r="T31" s="84"/>
    </row>
    <row r="32" spans="2:20">
      <c r="Q32" s="83"/>
      <c r="R32" s="79"/>
      <c r="S32" s="79"/>
      <c r="T32" s="84"/>
    </row>
    <row r="33" spans="9:20">
      <c r="Q33" s="83"/>
      <c r="R33" s="79"/>
      <c r="S33" s="79"/>
      <c r="T33" s="84"/>
    </row>
    <row r="34" spans="9:20" ht="19.5" thickBot="1">
      <c r="Q34" s="85"/>
      <c r="R34" s="86"/>
      <c r="S34" s="86"/>
      <c r="T34" s="87"/>
    </row>
    <row r="35" spans="9:20" ht="16.5" customHeight="1" thickTop="1">
      <c r="I35" s="209">
        <f>C5</f>
        <v>0</v>
      </c>
      <c r="J35" s="207"/>
      <c r="K35" s="207"/>
      <c r="L35" s="208"/>
    </row>
    <row r="36" spans="9:20" ht="16.5" customHeight="1">
      <c r="I36" s="206"/>
      <c r="J36" s="204"/>
      <c r="K36" s="204"/>
      <c r="L36" s="205"/>
    </row>
    <row r="37" spans="9:20" ht="16.5" customHeight="1">
      <c r="I37" s="206"/>
      <c r="J37" s="204"/>
      <c r="K37" s="204"/>
      <c r="L37" s="205"/>
    </row>
    <row r="38" spans="9:20" ht="16.5" customHeight="1">
      <c r="I38" s="206">
        <f>I35+1</f>
        <v>1</v>
      </c>
      <c r="J38" s="204"/>
      <c r="K38" s="204"/>
      <c r="L38" s="205"/>
    </row>
    <row r="39" spans="9:20" ht="16.5" customHeight="1">
      <c r="I39" s="206"/>
      <c r="J39" s="204"/>
      <c r="K39" s="204"/>
      <c r="L39" s="205"/>
    </row>
    <row r="40" spans="9:20" ht="16.5" customHeight="1">
      <c r="I40" s="206"/>
      <c r="J40" s="204"/>
      <c r="K40" s="204"/>
      <c r="L40" s="205"/>
    </row>
    <row r="41" spans="9:20" ht="16.5" customHeight="1">
      <c r="I41" s="206">
        <f>I38+1</f>
        <v>2</v>
      </c>
      <c r="J41" s="204"/>
      <c r="K41" s="204"/>
      <c r="L41" s="205"/>
    </row>
    <row r="42" spans="9:20" ht="16.5" customHeight="1">
      <c r="I42" s="206"/>
      <c r="J42" s="204"/>
      <c r="K42" s="204"/>
      <c r="L42" s="205"/>
    </row>
    <row r="43" spans="9:20" ht="16.5" customHeight="1">
      <c r="I43" s="206"/>
      <c r="J43" s="204"/>
      <c r="K43" s="204"/>
      <c r="L43" s="205"/>
    </row>
    <row r="44" spans="9:20" ht="16.5" customHeight="1">
      <c r="I44" s="206">
        <f>I41+1</f>
        <v>3</v>
      </c>
      <c r="J44" s="204"/>
      <c r="K44" s="204"/>
      <c r="L44" s="205"/>
    </row>
    <row r="45" spans="9:20" ht="16.5" customHeight="1">
      <c r="I45" s="206"/>
      <c r="J45" s="204"/>
      <c r="K45" s="204"/>
      <c r="L45" s="205"/>
    </row>
    <row r="46" spans="9:20" ht="16.5" customHeight="1">
      <c r="I46" s="206"/>
      <c r="J46" s="204"/>
      <c r="K46" s="204"/>
      <c r="L46" s="205"/>
    </row>
    <row r="47" spans="9:20" ht="16.5" customHeight="1">
      <c r="I47" s="206">
        <f>I44+1</f>
        <v>4</v>
      </c>
      <c r="J47" s="204"/>
      <c r="K47" s="204"/>
      <c r="L47" s="205"/>
    </row>
    <row r="48" spans="9:20" ht="16.5" customHeight="1">
      <c r="I48" s="206"/>
      <c r="J48" s="204"/>
      <c r="K48" s="204"/>
      <c r="L48" s="205"/>
    </row>
    <row r="49" spans="9:12" ht="16.5" customHeight="1">
      <c r="I49" s="206"/>
      <c r="J49" s="204"/>
      <c r="K49" s="204"/>
      <c r="L49" s="205"/>
    </row>
    <row r="50" spans="9:12" ht="16.5" customHeight="1">
      <c r="I50" s="206">
        <f>I47+1</f>
        <v>5</v>
      </c>
      <c r="J50" s="204"/>
      <c r="K50" s="213">
        <f>I50+1</f>
        <v>6</v>
      </c>
      <c r="L50" s="205"/>
    </row>
    <row r="51" spans="9:12" ht="16.5" customHeight="1" thickBot="1">
      <c r="I51" s="216"/>
      <c r="J51" s="215"/>
      <c r="K51" s="214"/>
      <c r="L51" s="212"/>
    </row>
  </sheetData>
  <mergeCells count="21">
    <mergeCell ref="I41:I43"/>
    <mergeCell ref="J41:L43"/>
    <mergeCell ref="B8:B9"/>
    <mergeCell ref="B10:B11"/>
    <mergeCell ref="B12:B13"/>
    <mergeCell ref="B14:B15"/>
    <mergeCell ref="B17:B18"/>
    <mergeCell ref="B19:B20"/>
    <mergeCell ref="Q28:R28"/>
    <mergeCell ref="I35:I37"/>
    <mergeCell ref="J35:L37"/>
    <mergeCell ref="I38:I40"/>
    <mergeCell ref="J38:L40"/>
    <mergeCell ref="I44:I46"/>
    <mergeCell ref="J44:L46"/>
    <mergeCell ref="I47:I49"/>
    <mergeCell ref="J47:L49"/>
    <mergeCell ref="I50:I51"/>
    <mergeCell ref="J50:J51"/>
    <mergeCell ref="K50:K51"/>
    <mergeCell ref="L50:L51"/>
  </mergeCells>
  <phoneticPr fontId="1"/>
  <pageMargins left="0" right="0" top="0" bottom="0" header="0" footer="0"/>
  <pageSetup paperSize="9" scale="97" fitToHeight="0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A828D4C-D011-4A39-8E2D-7A6BCA84046E}">
            <xm:f>COUNTIF(祝日リスト!$A:$Z,C$5)&gt;0</xm:f>
            <x14:dxf>
              <font>
                <color theme="1"/>
              </font>
              <fill>
                <patternFill>
                  <bgColor theme="0" tint="-0.14996795556505021"/>
                </patternFill>
              </fill>
            </x14:dxf>
          </x14:cfRule>
          <xm:sqref>C4:G21</xm:sqref>
        </x14:conditionalFormatting>
        <x14:conditionalFormatting xmlns:xm="http://schemas.microsoft.com/office/excel/2006/main">
          <x14:cfRule type="expression" priority="1" id="{499D3094-7851-408B-8C31-2F85BCD9F92D}">
            <xm:f>COUNTIF(祝日リスト!$A:$Z,$I35)&gt;0</xm:f>
            <x14:dxf>
              <font>
                <color theme="1"/>
              </font>
              <fill>
                <patternFill>
                  <bgColor theme="0" tint="-0.14996795556505021"/>
                </patternFill>
              </fill>
            </x14:dxf>
          </x14:cfRule>
          <xm:sqref>I35:J35 I38:J38 I41:J41 I44:J44 I47:J47</xm:sqref>
        </x14:conditionalFormatting>
        <x14:conditionalFormatting xmlns:xm="http://schemas.microsoft.com/office/excel/2006/main">
          <x14:cfRule type="expression" priority="3" stopIfTrue="1" id="{9A5BEA2E-58C7-4911-AB02-71215FFF15F7}">
            <xm:f>COUNTIF(祝日リスト!$A:$Z,C$5)&gt;0</xm:f>
            <x14:dxf>
              <numFmt numFmtId="187" formatCode=";;;"/>
            </x14:dxf>
          </x14:cfRule>
          <x14:cfRule type="expression" priority="4" id="{E172819D-96F9-49D5-AAFB-B49539B86C02}">
            <xm:f>AND(C8&lt;&gt;"",COUNTIF(時間割!$F:$F,C8)&gt;0)</xm:f>
            <x14:dxf>
              <numFmt numFmtId="186" formatCode="&quot;　&quot;@"/>
              <fill>
                <patternFill>
                  <bgColor theme="0" tint="-4.9989318521683403E-2"/>
                </patternFill>
              </fill>
            </x14:dxf>
          </x14:cfRule>
          <x14:cfRule type="expression" priority="5" id="{52969A86-3DE3-434F-83C5-B527271EC06B}">
            <xm:f>AND(C8&lt;&gt;"",COUNTIF(時間割!$E:$E,C8)&gt;0)</xm:f>
            <x14:dxf>
              <numFmt numFmtId="186" formatCode="&quot;　&quot;@"/>
              <fill>
                <patternFill>
                  <bgColor rgb="FFFFFF99"/>
                </patternFill>
              </fill>
            </x14:dxf>
          </x14:cfRule>
          <x14:cfRule type="expression" priority="6" id="{9E4ED585-6CEB-40A2-90A4-3AFBAC2B3A81}">
            <xm:f>AND(C8&lt;&gt;"",COUNTIF(時間割!$D:$D,C8)&gt;0)</xm:f>
            <x14:dxf>
              <numFmt numFmtId="186" formatCode="&quot;　&quot;@"/>
              <fill>
                <patternFill>
                  <bgColor rgb="FFCCFF99"/>
                </patternFill>
              </fill>
            </x14:dxf>
          </x14:cfRule>
          <x14:cfRule type="expression" priority="7" id="{0479DF28-3B72-446E-9F63-B4F9189EA138}">
            <xm:f>AND(C8&lt;&gt;"",COUNTIF(時間割!$C:$C,C8)&gt;0)</xm:f>
            <x14:dxf>
              <numFmt numFmtId="186" formatCode="&quot;　&quot;@"/>
              <fill>
                <patternFill>
                  <bgColor theme="4" tint="0.59996337778862885"/>
                </patternFill>
              </fill>
            </x14:dxf>
          </x14:cfRule>
          <x14:cfRule type="expression" priority="8" id="{89DEC366-9E8E-40D0-BC83-FB58B43071DA}">
            <xm:f>AND(C8&lt;&gt;"",COUNTIF(時間割!$B:$B,C8)&gt;0)</xm:f>
            <x14:dxf>
              <numFmt numFmtId="186" formatCode="&quot;　&quot;@"/>
              <fill>
                <patternFill>
                  <bgColor rgb="FFFFCCCC"/>
                </patternFill>
              </fill>
            </x14:dxf>
          </x14:cfRule>
          <xm:sqref>C8:G20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T367"/>
  <sheetViews>
    <sheetView showGridLines="0" workbookViewId="0">
      <selection sqref="A1:A1048576"/>
    </sheetView>
  </sheetViews>
  <sheetFormatPr defaultRowHeight="11.25"/>
  <cols>
    <col min="1" max="1" width="9.5" style="62" customWidth="1"/>
    <col min="2" max="2" width="5.25" style="63" bestFit="1" customWidth="1"/>
    <col min="3" max="3" width="20.875" style="64" customWidth="1"/>
    <col min="4" max="4" width="9" style="65"/>
    <col min="5" max="16384" width="9" style="50"/>
  </cols>
  <sheetData>
    <row r="1" spans="1:20">
      <c r="A1" s="47" t="s">
        <v>44</v>
      </c>
      <c r="B1" s="48" t="s">
        <v>45</v>
      </c>
      <c r="C1" s="49" t="s">
        <v>46</v>
      </c>
      <c r="D1" s="49" t="s">
        <v>47</v>
      </c>
      <c r="T1" s="50">
        <v>19</v>
      </c>
    </row>
    <row r="2" spans="1:20">
      <c r="A2" s="51">
        <v>44562</v>
      </c>
      <c r="B2" s="52" t="str">
        <f>IF(A2="","",TEXT(A2,"aaa"))</f>
        <v>土</v>
      </c>
      <c r="C2" s="53" t="s">
        <v>11</v>
      </c>
      <c r="D2" s="54" t="s">
        <v>14</v>
      </c>
    </row>
    <row r="3" spans="1:20">
      <c r="A3" s="55">
        <v>44571</v>
      </c>
      <c r="B3" s="52" t="str">
        <f t="shared" ref="B3:B66" si="0">IF(A3="","",TEXT(A3,"aaa"))</f>
        <v>月</v>
      </c>
      <c r="C3" s="56" t="s">
        <v>12</v>
      </c>
      <c r="D3" s="54" t="s">
        <v>14</v>
      </c>
    </row>
    <row r="4" spans="1:20">
      <c r="A4" s="55">
        <v>44603</v>
      </c>
      <c r="B4" s="52" t="str">
        <f t="shared" si="0"/>
        <v>金</v>
      </c>
      <c r="C4" s="56" t="s">
        <v>13</v>
      </c>
      <c r="D4" s="54" t="s">
        <v>14</v>
      </c>
    </row>
    <row r="5" spans="1:20">
      <c r="A5" s="55">
        <v>44615</v>
      </c>
      <c r="B5" s="52" t="str">
        <f t="shared" si="0"/>
        <v>水</v>
      </c>
      <c r="C5" s="56" t="s">
        <v>15</v>
      </c>
      <c r="D5" s="54" t="s">
        <v>14</v>
      </c>
    </row>
    <row r="6" spans="1:20">
      <c r="A6" s="55">
        <v>44641</v>
      </c>
      <c r="B6" s="52" t="str">
        <f t="shared" si="0"/>
        <v>月</v>
      </c>
      <c r="C6" s="56" t="s">
        <v>17</v>
      </c>
      <c r="D6" s="54" t="s">
        <v>14</v>
      </c>
    </row>
    <row r="7" spans="1:20">
      <c r="A7" s="55">
        <v>44680</v>
      </c>
      <c r="B7" s="52" t="str">
        <f t="shared" si="0"/>
        <v>金</v>
      </c>
      <c r="C7" s="56" t="s">
        <v>18</v>
      </c>
      <c r="D7" s="54" t="s">
        <v>14</v>
      </c>
    </row>
    <row r="8" spans="1:20">
      <c r="A8" s="55">
        <v>44684</v>
      </c>
      <c r="B8" s="52" t="str">
        <f t="shared" si="0"/>
        <v>火</v>
      </c>
      <c r="C8" s="56" t="s">
        <v>19</v>
      </c>
      <c r="D8" s="54" t="s">
        <v>14</v>
      </c>
    </row>
    <row r="9" spans="1:20">
      <c r="A9" s="55">
        <v>44685</v>
      </c>
      <c r="B9" s="52" t="str">
        <f t="shared" si="0"/>
        <v>水</v>
      </c>
      <c r="C9" s="56" t="s">
        <v>20</v>
      </c>
      <c r="D9" s="54" t="s">
        <v>14</v>
      </c>
    </row>
    <row r="10" spans="1:20">
      <c r="A10" s="55">
        <v>44686</v>
      </c>
      <c r="B10" s="52" t="str">
        <f t="shared" si="0"/>
        <v>木</v>
      </c>
      <c r="C10" s="56" t="s">
        <v>21</v>
      </c>
      <c r="D10" s="54" t="s">
        <v>14</v>
      </c>
    </row>
    <row r="11" spans="1:20">
      <c r="A11" s="55">
        <v>44760</v>
      </c>
      <c r="B11" s="52" t="str">
        <f t="shared" si="0"/>
        <v>月</v>
      </c>
      <c r="C11" s="56" t="s">
        <v>22</v>
      </c>
      <c r="D11" s="54" t="s">
        <v>14</v>
      </c>
    </row>
    <row r="12" spans="1:20">
      <c r="A12" s="55">
        <v>44784</v>
      </c>
      <c r="B12" s="52" t="str">
        <f t="shared" si="0"/>
        <v>木</v>
      </c>
      <c r="C12" s="56" t="s">
        <v>23</v>
      </c>
      <c r="D12" s="54" t="s">
        <v>14</v>
      </c>
    </row>
    <row r="13" spans="1:20">
      <c r="A13" s="55">
        <v>44823</v>
      </c>
      <c r="B13" s="52" t="str">
        <f t="shared" si="0"/>
        <v>月</v>
      </c>
      <c r="C13" s="56" t="s">
        <v>24</v>
      </c>
      <c r="D13" s="54" t="s">
        <v>14</v>
      </c>
    </row>
    <row r="14" spans="1:20">
      <c r="A14" s="55">
        <v>44827</v>
      </c>
      <c r="B14" s="52" t="str">
        <f t="shared" si="0"/>
        <v>金</v>
      </c>
      <c r="C14" s="56" t="s">
        <v>25</v>
      </c>
      <c r="D14" s="54" t="s">
        <v>14</v>
      </c>
    </row>
    <row r="15" spans="1:20">
      <c r="A15" s="55">
        <v>44844</v>
      </c>
      <c r="B15" s="52" t="str">
        <f t="shared" si="0"/>
        <v>月</v>
      </c>
      <c r="C15" s="56" t="s">
        <v>26</v>
      </c>
      <c r="D15" s="54" t="s">
        <v>14</v>
      </c>
    </row>
    <row r="16" spans="1:20">
      <c r="A16" s="55">
        <v>44868</v>
      </c>
      <c r="B16" s="52" t="str">
        <f t="shared" si="0"/>
        <v>木</v>
      </c>
      <c r="C16" s="56" t="s">
        <v>27</v>
      </c>
      <c r="D16" s="54" t="s">
        <v>14</v>
      </c>
    </row>
    <row r="17" spans="1:4">
      <c r="A17" s="55">
        <v>44888</v>
      </c>
      <c r="B17" s="52" t="str">
        <f t="shared" si="0"/>
        <v>水</v>
      </c>
      <c r="C17" s="56" t="s">
        <v>28</v>
      </c>
      <c r="D17" s="54" t="s">
        <v>14</v>
      </c>
    </row>
    <row r="18" spans="1:4">
      <c r="A18" s="55">
        <v>44927</v>
      </c>
      <c r="B18" s="52" t="str">
        <f t="shared" si="0"/>
        <v>日</v>
      </c>
      <c r="C18" s="56" t="s">
        <v>11</v>
      </c>
      <c r="D18" s="54" t="s">
        <v>14</v>
      </c>
    </row>
    <row r="19" spans="1:4">
      <c r="A19" s="55">
        <v>44928</v>
      </c>
      <c r="B19" s="52" t="str">
        <f t="shared" si="0"/>
        <v>月</v>
      </c>
      <c r="C19" s="56" t="s">
        <v>16</v>
      </c>
      <c r="D19" s="54" t="s">
        <v>14</v>
      </c>
    </row>
    <row r="20" spans="1:4">
      <c r="A20" s="55">
        <v>44935</v>
      </c>
      <c r="B20" s="52" t="str">
        <f t="shared" si="0"/>
        <v>月</v>
      </c>
      <c r="C20" s="56" t="s">
        <v>12</v>
      </c>
      <c r="D20" s="54" t="s">
        <v>14</v>
      </c>
    </row>
    <row r="21" spans="1:4">
      <c r="A21" s="55">
        <v>44968</v>
      </c>
      <c r="B21" s="52" t="str">
        <f t="shared" si="0"/>
        <v>土</v>
      </c>
      <c r="C21" s="56" t="s">
        <v>13</v>
      </c>
      <c r="D21" s="54" t="s">
        <v>14</v>
      </c>
    </row>
    <row r="22" spans="1:4">
      <c r="A22" s="55">
        <v>44980</v>
      </c>
      <c r="B22" s="52" t="str">
        <f t="shared" si="0"/>
        <v>木</v>
      </c>
      <c r="C22" s="56" t="s">
        <v>15</v>
      </c>
      <c r="D22" s="54" t="s">
        <v>14</v>
      </c>
    </row>
    <row r="23" spans="1:4">
      <c r="A23" s="55">
        <v>45006</v>
      </c>
      <c r="B23" s="52" t="str">
        <f t="shared" si="0"/>
        <v>火</v>
      </c>
      <c r="C23" s="56" t="s">
        <v>17</v>
      </c>
      <c r="D23" s="54" t="s">
        <v>14</v>
      </c>
    </row>
    <row r="24" spans="1:4">
      <c r="A24" s="55">
        <v>45045</v>
      </c>
      <c r="B24" s="52" t="str">
        <f t="shared" si="0"/>
        <v>土</v>
      </c>
      <c r="C24" s="56" t="s">
        <v>18</v>
      </c>
      <c r="D24" s="54" t="s">
        <v>14</v>
      </c>
    </row>
    <row r="25" spans="1:4">
      <c r="A25" s="55">
        <v>45049</v>
      </c>
      <c r="B25" s="52" t="str">
        <f t="shared" si="0"/>
        <v>水</v>
      </c>
      <c r="C25" s="56" t="s">
        <v>19</v>
      </c>
      <c r="D25" s="54" t="s">
        <v>14</v>
      </c>
    </row>
    <row r="26" spans="1:4">
      <c r="A26" s="55">
        <v>45050</v>
      </c>
      <c r="B26" s="52" t="str">
        <f t="shared" si="0"/>
        <v>木</v>
      </c>
      <c r="C26" s="56" t="s">
        <v>20</v>
      </c>
      <c r="D26" s="54" t="s">
        <v>14</v>
      </c>
    </row>
    <row r="27" spans="1:4">
      <c r="A27" s="55">
        <v>45051</v>
      </c>
      <c r="B27" s="52" t="str">
        <f t="shared" si="0"/>
        <v>金</v>
      </c>
      <c r="C27" s="56" t="s">
        <v>21</v>
      </c>
      <c r="D27" s="54" t="s">
        <v>14</v>
      </c>
    </row>
    <row r="28" spans="1:4">
      <c r="A28" s="55">
        <v>45124</v>
      </c>
      <c r="B28" s="52" t="str">
        <f t="shared" si="0"/>
        <v>月</v>
      </c>
      <c r="C28" s="56" t="s">
        <v>22</v>
      </c>
      <c r="D28" s="54" t="s">
        <v>14</v>
      </c>
    </row>
    <row r="29" spans="1:4">
      <c r="A29" s="55">
        <v>45149</v>
      </c>
      <c r="B29" s="52" t="str">
        <f t="shared" si="0"/>
        <v>金</v>
      </c>
      <c r="C29" s="56" t="s">
        <v>23</v>
      </c>
      <c r="D29" s="54" t="s">
        <v>14</v>
      </c>
    </row>
    <row r="30" spans="1:4">
      <c r="A30" s="55">
        <v>45187</v>
      </c>
      <c r="B30" s="52" t="str">
        <f t="shared" si="0"/>
        <v>月</v>
      </c>
      <c r="C30" s="56" t="s">
        <v>24</v>
      </c>
      <c r="D30" s="54" t="s">
        <v>14</v>
      </c>
    </row>
    <row r="31" spans="1:4">
      <c r="A31" s="55">
        <v>45192</v>
      </c>
      <c r="B31" s="52" t="str">
        <f t="shared" si="0"/>
        <v>土</v>
      </c>
      <c r="C31" s="56" t="s">
        <v>25</v>
      </c>
      <c r="D31" s="54" t="s">
        <v>14</v>
      </c>
    </row>
    <row r="32" spans="1:4">
      <c r="A32" s="55">
        <v>45208</v>
      </c>
      <c r="B32" s="52" t="str">
        <f t="shared" si="0"/>
        <v>月</v>
      </c>
      <c r="C32" s="56" t="s">
        <v>26</v>
      </c>
      <c r="D32" s="54" t="s">
        <v>14</v>
      </c>
    </row>
    <row r="33" spans="1:4">
      <c r="A33" s="55">
        <v>45233</v>
      </c>
      <c r="B33" s="52" t="str">
        <f t="shared" si="0"/>
        <v>金</v>
      </c>
      <c r="C33" s="56" t="s">
        <v>27</v>
      </c>
      <c r="D33" s="54" t="s">
        <v>14</v>
      </c>
    </row>
    <row r="34" spans="1:4">
      <c r="A34" s="55">
        <v>45253</v>
      </c>
      <c r="B34" s="52" t="str">
        <f t="shared" si="0"/>
        <v>木</v>
      </c>
      <c r="C34" s="56" t="s">
        <v>28</v>
      </c>
      <c r="D34" s="54" t="s">
        <v>14</v>
      </c>
    </row>
    <row r="35" spans="1:4">
      <c r="A35" s="55">
        <v>45292</v>
      </c>
      <c r="B35" s="52" t="str">
        <f t="shared" si="0"/>
        <v>月</v>
      </c>
      <c r="C35" s="56" t="s">
        <v>11</v>
      </c>
      <c r="D35" s="54" t="s">
        <v>14</v>
      </c>
    </row>
    <row r="36" spans="1:4">
      <c r="A36" s="55">
        <v>45299</v>
      </c>
      <c r="B36" s="52" t="str">
        <f t="shared" si="0"/>
        <v>月</v>
      </c>
      <c r="C36" s="56" t="s">
        <v>12</v>
      </c>
      <c r="D36" s="54" t="s">
        <v>14</v>
      </c>
    </row>
    <row r="37" spans="1:4">
      <c r="A37" s="55">
        <v>45333</v>
      </c>
      <c r="B37" s="52" t="str">
        <f t="shared" si="0"/>
        <v>日</v>
      </c>
      <c r="C37" s="56" t="s">
        <v>13</v>
      </c>
      <c r="D37" s="54" t="s">
        <v>14</v>
      </c>
    </row>
    <row r="38" spans="1:4">
      <c r="A38" s="55">
        <v>45334</v>
      </c>
      <c r="B38" s="52" t="str">
        <f t="shared" si="0"/>
        <v>月</v>
      </c>
      <c r="C38" s="56" t="s">
        <v>16</v>
      </c>
      <c r="D38" s="54" t="s">
        <v>14</v>
      </c>
    </row>
    <row r="39" spans="1:4">
      <c r="A39" s="55">
        <v>45345</v>
      </c>
      <c r="B39" s="52" t="str">
        <f t="shared" si="0"/>
        <v>金</v>
      </c>
      <c r="C39" s="56" t="s">
        <v>15</v>
      </c>
      <c r="D39" s="54" t="s">
        <v>14</v>
      </c>
    </row>
    <row r="40" spans="1:4">
      <c r="A40" s="55">
        <v>45371</v>
      </c>
      <c r="B40" s="52" t="str">
        <f t="shared" si="0"/>
        <v>水</v>
      </c>
      <c r="C40" s="56" t="s">
        <v>17</v>
      </c>
      <c r="D40" s="54" t="s">
        <v>14</v>
      </c>
    </row>
    <row r="41" spans="1:4">
      <c r="A41" s="55">
        <v>45411</v>
      </c>
      <c r="B41" s="52" t="str">
        <f t="shared" si="0"/>
        <v>月</v>
      </c>
      <c r="C41" s="56" t="s">
        <v>18</v>
      </c>
      <c r="D41" s="54" t="s">
        <v>14</v>
      </c>
    </row>
    <row r="42" spans="1:4">
      <c r="A42" s="55">
        <v>45415</v>
      </c>
      <c r="B42" s="52" t="str">
        <f t="shared" si="0"/>
        <v>金</v>
      </c>
      <c r="C42" s="56" t="s">
        <v>19</v>
      </c>
      <c r="D42" s="54" t="s">
        <v>14</v>
      </c>
    </row>
    <row r="43" spans="1:4">
      <c r="A43" s="55">
        <v>45416</v>
      </c>
      <c r="B43" s="52" t="str">
        <f t="shared" si="0"/>
        <v>土</v>
      </c>
      <c r="C43" s="56" t="s">
        <v>20</v>
      </c>
      <c r="D43" s="54" t="s">
        <v>14</v>
      </c>
    </row>
    <row r="44" spans="1:4">
      <c r="A44" s="55">
        <v>45417</v>
      </c>
      <c r="B44" s="52" t="str">
        <f t="shared" si="0"/>
        <v>日</v>
      </c>
      <c r="C44" s="56" t="s">
        <v>21</v>
      </c>
      <c r="D44" s="54" t="s">
        <v>14</v>
      </c>
    </row>
    <row r="45" spans="1:4">
      <c r="A45" s="55">
        <v>45418</v>
      </c>
      <c r="B45" s="52" t="str">
        <f t="shared" si="0"/>
        <v>月</v>
      </c>
      <c r="C45" s="56" t="s">
        <v>16</v>
      </c>
      <c r="D45" s="54" t="s">
        <v>14</v>
      </c>
    </row>
    <row r="46" spans="1:4">
      <c r="A46" s="55">
        <v>45488</v>
      </c>
      <c r="B46" s="52" t="str">
        <f t="shared" si="0"/>
        <v>月</v>
      </c>
      <c r="C46" s="56" t="s">
        <v>22</v>
      </c>
      <c r="D46" s="54" t="s">
        <v>14</v>
      </c>
    </row>
    <row r="47" spans="1:4">
      <c r="A47" s="55">
        <v>45515</v>
      </c>
      <c r="B47" s="52" t="str">
        <f t="shared" si="0"/>
        <v>日</v>
      </c>
      <c r="C47" s="56" t="s">
        <v>23</v>
      </c>
      <c r="D47" s="54" t="s">
        <v>14</v>
      </c>
    </row>
    <row r="48" spans="1:4">
      <c r="A48" s="55">
        <v>45516</v>
      </c>
      <c r="B48" s="52" t="str">
        <f t="shared" si="0"/>
        <v>月</v>
      </c>
      <c r="C48" s="56" t="s">
        <v>16</v>
      </c>
      <c r="D48" s="54" t="s">
        <v>14</v>
      </c>
    </row>
    <row r="49" spans="1:4">
      <c r="A49" s="55">
        <v>45551</v>
      </c>
      <c r="B49" s="52" t="str">
        <f t="shared" si="0"/>
        <v>月</v>
      </c>
      <c r="C49" s="56" t="s">
        <v>24</v>
      </c>
      <c r="D49" s="54" t="s">
        <v>14</v>
      </c>
    </row>
    <row r="50" spans="1:4">
      <c r="A50" s="55">
        <v>45557</v>
      </c>
      <c r="B50" s="52" t="str">
        <f t="shared" si="0"/>
        <v>日</v>
      </c>
      <c r="C50" s="56" t="s">
        <v>25</v>
      </c>
      <c r="D50" s="54" t="s">
        <v>14</v>
      </c>
    </row>
    <row r="51" spans="1:4">
      <c r="A51" s="55">
        <v>45558</v>
      </c>
      <c r="B51" s="52" t="str">
        <f t="shared" si="0"/>
        <v>月</v>
      </c>
      <c r="C51" s="56" t="s">
        <v>16</v>
      </c>
      <c r="D51" s="54" t="s">
        <v>14</v>
      </c>
    </row>
    <row r="52" spans="1:4">
      <c r="A52" s="55">
        <v>45579</v>
      </c>
      <c r="B52" s="52" t="str">
        <f t="shared" si="0"/>
        <v>月</v>
      </c>
      <c r="C52" s="56" t="s">
        <v>26</v>
      </c>
      <c r="D52" s="54" t="s">
        <v>14</v>
      </c>
    </row>
    <row r="53" spans="1:4">
      <c r="A53" s="55">
        <v>45599</v>
      </c>
      <c r="B53" s="52" t="str">
        <f t="shared" si="0"/>
        <v>日</v>
      </c>
      <c r="C53" s="56" t="s">
        <v>27</v>
      </c>
      <c r="D53" s="54" t="s">
        <v>14</v>
      </c>
    </row>
    <row r="54" spans="1:4">
      <c r="A54" s="55">
        <v>45600</v>
      </c>
      <c r="B54" s="52" t="str">
        <f t="shared" si="0"/>
        <v>月</v>
      </c>
      <c r="C54" s="56" t="s">
        <v>16</v>
      </c>
      <c r="D54" s="54" t="s">
        <v>14</v>
      </c>
    </row>
    <row r="55" spans="1:4">
      <c r="A55" s="55">
        <v>45619</v>
      </c>
      <c r="B55" s="52" t="str">
        <f t="shared" si="0"/>
        <v>土</v>
      </c>
      <c r="C55" s="56" t="s">
        <v>28</v>
      </c>
      <c r="D55" s="54" t="s">
        <v>14</v>
      </c>
    </row>
    <row r="56" spans="1:4">
      <c r="A56" s="55">
        <v>45658</v>
      </c>
      <c r="B56" s="52" t="str">
        <f t="shared" si="0"/>
        <v>水</v>
      </c>
      <c r="C56" s="56" t="s">
        <v>11</v>
      </c>
      <c r="D56" s="54" t="s">
        <v>14</v>
      </c>
    </row>
    <row r="57" spans="1:4">
      <c r="A57" s="55">
        <v>45670</v>
      </c>
      <c r="B57" s="52" t="str">
        <f t="shared" si="0"/>
        <v>月</v>
      </c>
      <c r="C57" s="56" t="s">
        <v>12</v>
      </c>
      <c r="D57" s="54" t="s">
        <v>14</v>
      </c>
    </row>
    <row r="58" spans="1:4">
      <c r="A58" s="55">
        <v>45699</v>
      </c>
      <c r="B58" s="52" t="str">
        <f t="shared" si="0"/>
        <v>火</v>
      </c>
      <c r="C58" s="56" t="s">
        <v>13</v>
      </c>
      <c r="D58" s="54" t="s">
        <v>14</v>
      </c>
    </row>
    <row r="59" spans="1:4">
      <c r="A59" s="55">
        <v>45711</v>
      </c>
      <c r="B59" s="52" t="str">
        <f t="shared" si="0"/>
        <v>日</v>
      </c>
      <c r="C59" s="56" t="s">
        <v>15</v>
      </c>
      <c r="D59" s="54" t="s">
        <v>14</v>
      </c>
    </row>
    <row r="60" spans="1:4">
      <c r="A60" s="55">
        <v>45712</v>
      </c>
      <c r="B60" s="52" t="str">
        <f t="shared" si="0"/>
        <v>月</v>
      </c>
      <c r="C60" s="56" t="s">
        <v>16</v>
      </c>
      <c r="D60" s="54" t="s">
        <v>14</v>
      </c>
    </row>
    <row r="61" spans="1:4">
      <c r="A61" s="55">
        <v>45736</v>
      </c>
      <c r="B61" s="52" t="str">
        <f t="shared" si="0"/>
        <v>木</v>
      </c>
      <c r="C61" s="56" t="s">
        <v>17</v>
      </c>
      <c r="D61" s="54" t="s">
        <v>14</v>
      </c>
    </row>
    <row r="62" spans="1:4">
      <c r="A62" s="55">
        <v>45776</v>
      </c>
      <c r="B62" s="52" t="str">
        <f t="shared" si="0"/>
        <v>火</v>
      </c>
      <c r="C62" s="56" t="s">
        <v>18</v>
      </c>
      <c r="D62" s="54" t="s">
        <v>14</v>
      </c>
    </row>
    <row r="63" spans="1:4">
      <c r="A63" s="55">
        <v>45780</v>
      </c>
      <c r="B63" s="52" t="str">
        <f t="shared" si="0"/>
        <v>土</v>
      </c>
      <c r="C63" s="56" t="s">
        <v>19</v>
      </c>
      <c r="D63" s="54" t="s">
        <v>14</v>
      </c>
    </row>
    <row r="64" spans="1:4">
      <c r="A64" s="55">
        <v>45781</v>
      </c>
      <c r="B64" s="52" t="str">
        <f t="shared" si="0"/>
        <v>日</v>
      </c>
      <c r="C64" s="56" t="s">
        <v>20</v>
      </c>
      <c r="D64" s="54" t="s">
        <v>14</v>
      </c>
    </row>
    <row r="65" spans="1:4">
      <c r="A65" s="55">
        <v>45782</v>
      </c>
      <c r="B65" s="52" t="str">
        <f t="shared" si="0"/>
        <v>月</v>
      </c>
      <c r="C65" s="56" t="s">
        <v>21</v>
      </c>
      <c r="D65" s="54" t="s">
        <v>14</v>
      </c>
    </row>
    <row r="66" spans="1:4">
      <c r="A66" s="55">
        <v>45783</v>
      </c>
      <c r="B66" s="52" t="str">
        <f t="shared" si="0"/>
        <v>火</v>
      </c>
      <c r="C66" s="56" t="s">
        <v>16</v>
      </c>
      <c r="D66" s="54" t="s">
        <v>14</v>
      </c>
    </row>
    <row r="67" spans="1:4">
      <c r="A67" s="55">
        <v>45859</v>
      </c>
      <c r="B67" s="52" t="str">
        <f t="shared" ref="B67:B130" si="1">IF(A67="","",TEXT(A67,"aaa"))</f>
        <v>月</v>
      </c>
      <c r="C67" s="56" t="s">
        <v>22</v>
      </c>
      <c r="D67" s="54" t="s">
        <v>14</v>
      </c>
    </row>
    <row r="68" spans="1:4">
      <c r="A68" s="55">
        <v>45880</v>
      </c>
      <c r="B68" s="52" t="str">
        <f t="shared" si="1"/>
        <v>月</v>
      </c>
      <c r="C68" s="56" t="s">
        <v>23</v>
      </c>
      <c r="D68" s="54" t="s">
        <v>14</v>
      </c>
    </row>
    <row r="69" spans="1:4">
      <c r="A69" s="55">
        <v>45915</v>
      </c>
      <c r="B69" s="52" t="str">
        <f t="shared" si="1"/>
        <v>月</v>
      </c>
      <c r="C69" s="56" t="s">
        <v>24</v>
      </c>
      <c r="D69" s="54" t="s">
        <v>14</v>
      </c>
    </row>
    <row r="70" spans="1:4">
      <c r="A70" s="55">
        <v>45923</v>
      </c>
      <c r="B70" s="52" t="str">
        <f t="shared" si="1"/>
        <v>火</v>
      </c>
      <c r="C70" s="56" t="s">
        <v>25</v>
      </c>
      <c r="D70" s="54" t="s">
        <v>14</v>
      </c>
    </row>
    <row r="71" spans="1:4">
      <c r="A71" s="55">
        <v>45943</v>
      </c>
      <c r="B71" s="52" t="str">
        <f t="shared" si="1"/>
        <v>月</v>
      </c>
      <c r="C71" s="56" t="s">
        <v>26</v>
      </c>
      <c r="D71" s="54" t="s">
        <v>14</v>
      </c>
    </row>
    <row r="72" spans="1:4">
      <c r="A72" s="55">
        <v>45964</v>
      </c>
      <c r="B72" s="52" t="str">
        <f t="shared" si="1"/>
        <v>月</v>
      </c>
      <c r="C72" s="56" t="s">
        <v>27</v>
      </c>
      <c r="D72" s="54" t="s">
        <v>14</v>
      </c>
    </row>
    <row r="73" spans="1:4">
      <c r="A73" s="55">
        <v>45984</v>
      </c>
      <c r="B73" s="52" t="str">
        <f t="shared" si="1"/>
        <v>日</v>
      </c>
      <c r="C73" s="56" t="s">
        <v>28</v>
      </c>
      <c r="D73" s="54" t="s">
        <v>14</v>
      </c>
    </row>
    <row r="74" spans="1:4">
      <c r="A74" s="55">
        <v>45985</v>
      </c>
      <c r="B74" s="52" t="str">
        <f t="shared" si="1"/>
        <v>月</v>
      </c>
      <c r="C74" s="56" t="s">
        <v>16</v>
      </c>
      <c r="D74" s="54" t="s">
        <v>14</v>
      </c>
    </row>
    <row r="75" spans="1:4">
      <c r="A75" s="55">
        <v>46023</v>
      </c>
      <c r="B75" s="52" t="str">
        <f t="shared" si="1"/>
        <v>木</v>
      </c>
      <c r="C75" s="56" t="s">
        <v>11</v>
      </c>
      <c r="D75" s="54" t="s">
        <v>14</v>
      </c>
    </row>
    <row r="76" spans="1:4">
      <c r="A76" s="55">
        <v>46034</v>
      </c>
      <c r="B76" s="52" t="str">
        <f t="shared" si="1"/>
        <v>月</v>
      </c>
      <c r="C76" s="56" t="s">
        <v>12</v>
      </c>
      <c r="D76" s="54" t="s">
        <v>14</v>
      </c>
    </row>
    <row r="77" spans="1:4">
      <c r="A77" s="55">
        <v>46064</v>
      </c>
      <c r="B77" s="52" t="str">
        <f t="shared" si="1"/>
        <v>水</v>
      </c>
      <c r="C77" s="56" t="s">
        <v>13</v>
      </c>
      <c r="D77" s="54" t="s">
        <v>14</v>
      </c>
    </row>
    <row r="78" spans="1:4">
      <c r="A78" s="55">
        <v>46076</v>
      </c>
      <c r="B78" s="52" t="str">
        <f t="shared" si="1"/>
        <v>月</v>
      </c>
      <c r="C78" s="56" t="s">
        <v>15</v>
      </c>
      <c r="D78" s="54" t="s">
        <v>14</v>
      </c>
    </row>
    <row r="79" spans="1:4">
      <c r="A79" s="55">
        <v>46101</v>
      </c>
      <c r="B79" s="52" t="str">
        <f t="shared" si="1"/>
        <v>金</v>
      </c>
      <c r="C79" s="56" t="s">
        <v>17</v>
      </c>
      <c r="D79" s="54" t="s">
        <v>14</v>
      </c>
    </row>
    <row r="80" spans="1:4">
      <c r="A80" s="55">
        <v>46141</v>
      </c>
      <c r="B80" s="52" t="str">
        <f t="shared" si="1"/>
        <v>水</v>
      </c>
      <c r="C80" s="56" t="s">
        <v>18</v>
      </c>
      <c r="D80" s="54" t="s">
        <v>14</v>
      </c>
    </row>
    <row r="81" spans="1:4">
      <c r="A81" s="55">
        <v>46145</v>
      </c>
      <c r="B81" s="52" t="str">
        <f t="shared" si="1"/>
        <v>日</v>
      </c>
      <c r="C81" s="56" t="s">
        <v>19</v>
      </c>
      <c r="D81" s="54" t="s">
        <v>14</v>
      </c>
    </row>
    <row r="82" spans="1:4">
      <c r="A82" s="55">
        <v>46146</v>
      </c>
      <c r="B82" s="52" t="str">
        <f t="shared" si="1"/>
        <v>月</v>
      </c>
      <c r="C82" s="56" t="s">
        <v>20</v>
      </c>
      <c r="D82" s="54" t="s">
        <v>14</v>
      </c>
    </row>
    <row r="83" spans="1:4">
      <c r="A83" s="55">
        <v>46147</v>
      </c>
      <c r="B83" s="52" t="str">
        <f t="shared" si="1"/>
        <v>火</v>
      </c>
      <c r="C83" s="56" t="s">
        <v>21</v>
      </c>
      <c r="D83" s="54" t="s">
        <v>14</v>
      </c>
    </row>
    <row r="84" spans="1:4">
      <c r="A84" s="55">
        <v>46148</v>
      </c>
      <c r="B84" s="52" t="str">
        <f t="shared" si="1"/>
        <v>水</v>
      </c>
      <c r="C84" s="56" t="s">
        <v>16</v>
      </c>
      <c r="D84" s="54" t="s">
        <v>14</v>
      </c>
    </row>
    <row r="85" spans="1:4">
      <c r="A85" s="55">
        <v>46223</v>
      </c>
      <c r="B85" s="52" t="str">
        <f t="shared" si="1"/>
        <v>月</v>
      </c>
      <c r="C85" s="56" t="s">
        <v>22</v>
      </c>
      <c r="D85" s="54" t="s">
        <v>14</v>
      </c>
    </row>
    <row r="86" spans="1:4">
      <c r="A86" s="55">
        <v>46245</v>
      </c>
      <c r="B86" s="52" t="str">
        <f t="shared" si="1"/>
        <v>火</v>
      </c>
      <c r="C86" s="56" t="s">
        <v>23</v>
      </c>
      <c r="D86" s="54" t="s">
        <v>14</v>
      </c>
    </row>
    <row r="87" spans="1:4">
      <c r="A87" s="55">
        <v>46286</v>
      </c>
      <c r="B87" s="52" t="str">
        <f t="shared" si="1"/>
        <v>月</v>
      </c>
      <c r="C87" s="56" t="s">
        <v>24</v>
      </c>
      <c r="D87" s="54" t="s">
        <v>14</v>
      </c>
    </row>
    <row r="88" spans="1:4">
      <c r="A88" s="55">
        <v>46287</v>
      </c>
      <c r="B88" s="52" t="str">
        <f t="shared" si="1"/>
        <v>火</v>
      </c>
      <c r="C88" s="56" t="s">
        <v>48</v>
      </c>
      <c r="D88" s="54" t="s">
        <v>14</v>
      </c>
    </row>
    <row r="89" spans="1:4">
      <c r="A89" s="55">
        <v>46288</v>
      </c>
      <c r="B89" s="52" t="str">
        <f t="shared" si="1"/>
        <v>水</v>
      </c>
      <c r="C89" s="56" t="s">
        <v>25</v>
      </c>
      <c r="D89" s="54" t="s">
        <v>14</v>
      </c>
    </row>
    <row r="90" spans="1:4">
      <c r="A90" s="55">
        <v>46307</v>
      </c>
      <c r="B90" s="52" t="str">
        <f t="shared" si="1"/>
        <v>月</v>
      </c>
      <c r="C90" s="56" t="s">
        <v>26</v>
      </c>
      <c r="D90" s="54" t="s">
        <v>14</v>
      </c>
    </row>
    <row r="91" spans="1:4">
      <c r="A91" s="55">
        <v>46329</v>
      </c>
      <c r="B91" s="52" t="str">
        <f t="shared" si="1"/>
        <v>火</v>
      </c>
      <c r="C91" s="56" t="s">
        <v>27</v>
      </c>
      <c r="D91" s="54" t="s">
        <v>14</v>
      </c>
    </row>
    <row r="92" spans="1:4">
      <c r="A92" s="55">
        <v>46349</v>
      </c>
      <c r="B92" s="52" t="str">
        <f t="shared" si="1"/>
        <v>月</v>
      </c>
      <c r="C92" s="56" t="s">
        <v>28</v>
      </c>
      <c r="D92" s="54" t="s">
        <v>14</v>
      </c>
    </row>
    <row r="93" spans="1:4">
      <c r="A93" s="55">
        <v>46388</v>
      </c>
      <c r="B93" s="52" t="str">
        <f t="shared" si="1"/>
        <v>金</v>
      </c>
      <c r="C93" s="56" t="s">
        <v>11</v>
      </c>
      <c r="D93" s="54" t="s">
        <v>14</v>
      </c>
    </row>
    <row r="94" spans="1:4">
      <c r="A94" s="55">
        <v>46398</v>
      </c>
      <c r="B94" s="52" t="str">
        <f t="shared" si="1"/>
        <v>月</v>
      </c>
      <c r="C94" s="56" t="s">
        <v>12</v>
      </c>
      <c r="D94" s="54" t="s">
        <v>14</v>
      </c>
    </row>
    <row r="95" spans="1:4">
      <c r="A95" s="55">
        <v>46429</v>
      </c>
      <c r="B95" s="52" t="str">
        <f t="shared" si="1"/>
        <v>木</v>
      </c>
      <c r="C95" s="56" t="s">
        <v>13</v>
      </c>
      <c r="D95" s="54" t="s">
        <v>14</v>
      </c>
    </row>
    <row r="96" spans="1:4">
      <c r="A96" s="55">
        <v>46441</v>
      </c>
      <c r="B96" s="52" t="str">
        <f t="shared" si="1"/>
        <v>火</v>
      </c>
      <c r="C96" s="56" t="s">
        <v>15</v>
      </c>
      <c r="D96" s="54" t="s">
        <v>14</v>
      </c>
    </row>
    <row r="97" spans="1:4">
      <c r="A97" s="55">
        <v>46467</v>
      </c>
      <c r="B97" s="52" t="str">
        <f t="shared" si="1"/>
        <v>日</v>
      </c>
      <c r="C97" s="56" t="s">
        <v>17</v>
      </c>
      <c r="D97" s="54" t="s">
        <v>14</v>
      </c>
    </row>
    <row r="98" spans="1:4">
      <c r="A98" s="55">
        <v>46468</v>
      </c>
      <c r="B98" s="52" t="str">
        <f t="shared" si="1"/>
        <v>月</v>
      </c>
      <c r="C98" s="56" t="s">
        <v>16</v>
      </c>
      <c r="D98" s="54" t="s">
        <v>14</v>
      </c>
    </row>
    <row r="99" spans="1:4">
      <c r="A99" s="55">
        <v>46506</v>
      </c>
      <c r="B99" s="52" t="str">
        <f t="shared" si="1"/>
        <v>木</v>
      </c>
      <c r="C99" s="56" t="s">
        <v>18</v>
      </c>
      <c r="D99" s="54" t="s">
        <v>14</v>
      </c>
    </row>
    <row r="100" spans="1:4">
      <c r="A100" s="55">
        <v>46510</v>
      </c>
      <c r="B100" s="52" t="str">
        <f t="shared" si="1"/>
        <v>月</v>
      </c>
      <c r="C100" s="56" t="s">
        <v>19</v>
      </c>
      <c r="D100" s="54" t="s">
        <v>14</v>
      </c>
    </row>
    <row r="101" spans="1:4">
      <c r="A101" s="55">
        <v>46511</v>
      </c>
      <c r="B101" s="52" t="str">
        <f t="shared" si="1"/>
        <v>火</v>
      </c>
      <c r="C101" s="56" t="s">
        <v>20</v>
      </c>
      <c r="D101" s="54" t="s">
        <v>14</v>
      </c>
    </row>
    <row r="102" spans="1:4">
      <c r="A102" s="55">
        <v>46512</v>
      </c>
      <c r="B102" s="52" t="str">
        <f t="shared" si="1"/>
        <v>水</v>
      </c>
      <c r="C102" s="56" t="s">
        <v>21</v>
      </c>
      <c r="D102" s="54" t="s">
        <v>14</v>
      </c>
    </row>
    <row r="103" spans="1:4">
      <c r="A103" s="55">
        <v>46587</v>
      </c>
      <c r="B103" s="52" t="str">
        <f t="shared" si="1"/>
        <v>月</v>
      </c>
      <c r="C103" s="56" t="s">
        <v>22</v>
      </c>
      <c r="D103" s="54" t="s">
        <v>14</v>
      </c>
    </row>
    <row r="104" spans="1:4">
      <c r="A104" s="55">
        <v>46610</v>
      </c>
      <c r="B104" s="52" t="str">
        <f t="shared" si="1"/>
        <v>水</v>
      </c>
      <c r="C104" s="56" t="s">
        <v>23</v>
      </c>
      <c r="D104" s="54" t="s">
        <v>14</v>
      </c>
    </row>
    <row r="105" spans="1:4">
      <c r="A105" s="55">
        <v>46650</v>
      </c>
      <c r="B105" s="52" t="str">
        <f t="shared" si="1"/>
        <v>月</v>
      </c>
      <c r="C105" s="56" t="s">
        <v>24</v>
      </c>
      <c r="D105" s="54" t="s">
        <v>14</v>
      </c>
    </row>
    <row r="106" spans="1:4">
      <c r="A106" s="55">
        <v>46653</v>
      </c>
      <c r="B106" s="52" t="str">
        <f t="shared" si="1"/>
        <v>木</v>
      </c>
      <c r="C106" s="56" t="s">
        <v>25</v>
      </c>
      <c r="D106" s="54" t="s">
        <v>14</v>
      </c>
    </row>
    <row r="107" spans="1:4">
      <c r="A107" s="55">
        <v>46671</v>
      </c>
      <c r="B107" s="52" t="str">
        <f t="shared" si="1"/>
        <v>月</v>
      </c>
      <c r="C107" s="56" t="s">
        <v>26</v>
      </c>
      <c r="D107" s="54" t="s">
        <v>14</v>
      </c>
    </row>
    <row r="108" spans="1:4">
      <c r="A108" s="55">
        <v>46694</v>
      </c>
      <c r="B108" s="52" t="str">
        <f t="shared" si="1"/>
        <v>水</v>
      </c>
      <c r="C108" s="56" t="s">
        <v>27</v>
      </c>
      <c r="D108" s="54" t="s">
        <v>14</v>
      </c>
    </row>
    <row r="109" spans="1:4">
      <c r="A109" s="55">
        <v>46714</v>
      </c>
      <c r="B109" s="52" t="str">
        <f t="shared" si="1"/>
        <v>火</v>
      </c>
      <c r="C109" s="56" t="s">
        <v>28</v>
      </c>
      <c r="D109" s="54" t="s">
        <v>14</v>
      </c>
    </row>
    <row r="110" spans="1:4">
      <c r="A110" s="55">
        <v>46753</v>
      </c>
      <c r="B110" s="52" t="str">
        <f t="shared" si="1"/>
        <v>土</v>
      </c>
      <c r="C110" s="56" t="s">
        <v>11</v>
      </c>
      <c r="D110" s="54" t="s">
        <v>14</v>
      </c>
    </row>
    <row r="111" spans="1:4">
      <c r="A111" s="55">
        <v>46762</v>
      </c>
      <c r="B111" s="52" t="str">
        <f t="shared" si="1"/>
        <v>月</v>
      </c>
      <c r="C111" s="56" t="s">
        <v>12</v>
      </c>
      <c r="D111" s="54" t="s">
        <v>14</v>
      </c>
    </row>
    <row r="112" spans="1:4">
      <c r="A112" s="55">
        <v>46794</v>
      </c>
      <c r="B112" s="52" t="str">
        <f t="shared" si="1"/>
        <v>金</v>
      </c>
      <c r="C112" s="56" t="s">
        <v>13</v>
      </c>
      <c r="D112" s="54" t="s">
        <v>14</v>
      </c>
    </row>
    <row r="113" spans="1:4">
      <c r="A113" s="55">
        <v>46806</v>
      </c>
      <c r="B113" s="52" t="str">
        <f t="shared" si="1"/>
        <v>水</v>
      </c>
      <c r="C113" s="56" t="s">
        <v>15</v>
      </c>
      <c r="D113" s="54" t="s">
        <v>14</v>
      </c>
    </row>
    <row r="114" spans="1:4">
      <c r="A114" s="55">
        <v>46832</v>
      </c>
      <c r="B114" s="52" t="str">
        <f t="shared" si="1"/>
        <v>月</v>
      </c>
      <c r="C114" s="56" t="s">
        <v>17</v>
      </c>
      <c r="D114" s="54" t="s">
        <v>14</v>
      </c>
    </row>
    <row r="115" spans="1:4">
      <c r="A115" s="55">
        <v>46872</v>
      </c>
      <c r="B115" s="52" t="str">
        <f t="shared" si="1"/>
        <v>土</v>
      </c>
      <c r="C115" s="56" t="s">
        <v>18</v>
      </c>
      <c r="D115" s="54" t="s">
        <v>14</v>
      </c>
    </row>
    <row r="116" spans="1:4">
      <c r="A116" s="55">
        <v>46876</v>
      </c>
      <c r="B116" s="52" t="str">
        <f t="shared" si="1"/>
        <v>水</v>
      </c>
      <c r="C116" s="56" t="s">
        <v>19</v>
      </c>
      <c r="D116" s="54" t="s">
        <v>14</v>
      </c>
    </row>
    <row r="117" spans="1:4">
      <c r="A117" s="55">
        <v>46877</v>
      </c>
      <c r="B117" s="52" t="str">
        <f t="shared" si="1"/>
        <v>木</v>
      </c>
      <c r="C117" s="56" t="s">
        <v>20</v>
      </c>
      <c r="D117" s="54" t="s">
        <v>14</v>
      </c>
    </row>
    <row r="118" spans="1:4">
      <c r="A118" s="55">
        <v>46878</v>
      </c>
      <c r="B118" s="52" t="str">
        <f t="shared" si="1"/>
        <v>金</v>
      </c>
      <c r="C118" s="56" t="s">
        <v>21</v>
      </c>
      <c r="D118" s="54" t="s">
        <v>14</v>
      </c>
    </row>
    <row r="119" spans="1:4">
      <c r="A119" s="55">
        <v>46951</v>
      </c>
      <c r="B119" s="52" t="str">
        <f t="shared" si="1"/>
        <v>月</v>
      </c>
      <c r="C119" s="56" t="s">
        <v>22</v>
      </c>
      <c r="D119" s="54" t="s">
        <v>14</v>
      </c>
    </row>
    <row r="120" spans="1:4">
      <c r="A120" s="55">
        <v>46976</v>
      </c>
      <c r="B120" s="52" t="str">
        <f t="shared" si="1"/>
        <v>金</v>
      </c>
      <c r="C120" s="56" t="s">
        <v>23</v>
      </c>
      <c r="D120" s="54" t="s">
        <v>14</v>
      </c>
    </row>
    <row r="121" spans="1:4">
      <c r="A121" s="55">
        <v>47014</v>
      </c>
      <c r="B121" s="52" t="str">
        <f t="shared" si="1"/>
        <v>月</v>
      </c>
      <c r="C121" s="56" t="s">
        <v>24</v>
      </c>
      <c r="D121" s="54" t="s">
        <v>14</v>
      </c>
    </row>
    <row r="122" spans="1:4">
      <c r="A122" s="55">
        <v>47018</v>
      </c>
      <c r="B122" s="52" t="str">
        <f t="shared" si="1"/>
        <v>金</v>
      </c>
      <c r="C122" s="56" t="s">
        <v>25</v>
      </c>
      <c r="D122" s="54" t="s">
        <v>14</v>
      </c>
    </row>
    <row r="123" spans="1:4">
      <c r="A123" s="55">
        <v>47035</v>
      </c>
      <c r="B123" s="52" t="str">
        <f t="shared" si="1"/>
        <v>月</v>
      </c>
      <c r="C123" s="56" t="s">
        <v>26</v>
      </c>
      <c r="D123" s="54" t="s">
        <v>14</v>
      </c>
    </row>
    <row r="124" spans="1:4">
      <c r="A124" s="55">
        <v>47060</v>
      </c>
      <c r="B124" s="52" t="str">
        <f t="shared" si="1"/>
        <v>金</v>
      </c>
      <c r="C124" s="56" t="s">
        <v>27</v>
      </c>
      <c r="D124" s="54" t="s">
        <v>14</v>
      </c>
    </row>
    <row r="125" spans="1:4">
      <c r="A125" s="55">
        <v>47080</v>
      </c>
      <c r="B125" s="52" t="str">
        <f t="shared" si="1"/>
        <v>木</v>
      </c>
      <c r="C125" s="56" t="s">
        <v>28</v>
      </c>
      <c r="D125" s="54" t="s">
        <v>14</v>
      </c>
    </row>
    <row r="126" spans="1:4">
      <c r="A126" s="55">
        <v>47119</v>
      </c>
      <c r="B126" s="52" t="str">
        <f t="shared" si="1"/>
        <v>月</v>
      </c>
      <c r="C126" s="56" t="s">
        <v>11</v>
      </c>
      <c r="D126" s="54" t="s">
        <v>14</v>
      </c>
    </row>
    <row r="127" spans="1:4">
      <c r="A127" s="55">
        <v>47126</v>
      </c>
      <c r="B127" s="52" t="str">
        <f t="shared" si="1"/>
        <v>月</v>
      </c>
      <c r="C127" s="56" t="s">
        <v>12</v>
      </c>
      <c r="D127" s="54" t="s">
        <v>14</v>
      </c>
    </row>
    <row r="128" spans="1:4">
      <c r="A128" s="55">
        <v>47160</v>
      </c>
      <c r="B128" s="52" t="str">
        <f t="shared" si="1"/>
        <v>日</v>
      </c>
      <c r="C128" s="56" t="s">
        <v>13</v>
      </c>
      <c r="D128" s="54" t="s">
        <v>14</v>
      </c>
    </row>
    <row r="129" spans="1:4">
      <c r="A129" s="55">
        <v>47161</v>
      </c>
      <c r="B129" s="52" t="str">
        <f t="shared" si="1"/>
        <v>月</v>
      </c>
      <c r="C129" s="56" t="s">
        <v>16</v>
      </c>
      <c r="D129" s="54" t="s">
        <v>14</v>
      </c>
    </row>
    <row r="130" spans="1:4">
      <c r="A130" s="55">
        <v>47172</v>
      </c>
      <c r="B130" s="52" t="str">
        <f t="shared" si="1"/>
        <v>金</v>
      </c>
      <c r="C130" s="56" t="s">
        <v>15</v>
      </c>
      <c r="D130" s="54" t="s">
        <v>14</v>
      </c>
    </row>
    <row r="131" spans="1:4">
      <c r="A131" s="55">
        <v>47197</v>
      </c>
      <c r="B131" s="52" t="str">
        <f t="shared" ref="B131:B194" si="2">IF(A131="","",TEXT(A131,"aaa"))</f>
        <v>火</v>
      </c>
      <c r="C131" s="56" t="s">
        <v>17</v>
      </c>
      <c r="D131" s="54" t="s">
        <v>14</v>
      </c>
    </row>
    <row r="132" spans="1:4">
      <c r="A132" s="55">
        <v>47237</v>
      </c>
      <c r="B132" s="52" t="str">
        <f t="shared" si="2"/>
        <v>日</v>
      </c>
      <c r="C132" s="56" t="s">
        <v>18</v>
      </c>
      <c r="D132" s="54" t="s">
        <v>14</v>
      </c>
    </row>
    <row r="133" spans="1:4">
      <c r="A133" s="55">
        <v>47238</v>
      </c>
      <c r="B133" s="52" t="str">
        <f t="shared" si="2"/>
        <v>月</v>
      </c>
      <c r="C133" s="56" t="s">
        <v>16</v>
      </c>
      <c r="D133" s="54" t="s">
        <v>14</v>
      </c>
    </row>
    <row r="134" spans="1:4">
      <c r="A134" s="55">
        <v>47241</v>
      </c>
      <c r="B134" s="52" t="str">
        <f t="shared" si="2"/>
        <v>木</v>
      </c>
      <c r="C134" s="56" t="s">
        <v>19</v>
      </c>
      <c r="D134" s="54" t="s">
        <v>14</v>
      </c>
    </row>
    <row r="135" spans="1:4">
      <c r="A135" s="55">
        <v>47242</v>
      </c>
      <c r="B135" s="52" t="str">
        <f t="shared" si="2"/>
        <v>金</v>
      </c>
      <c r="C135" s="56" t="s">
        <v>20</v>
      </c>
      <c r="D135" s="54" t="s">
        <v>14</v>
      </c>
    </row>
    <row r="136" spans="1:4">
      <c r="A136" s="55">
        <v>47243</v>
      </c>
      <c r="B136" s="52" t="str">
        <f t="shared" si="2"/>
        <v>土</v>
      </c>
      <c r="C136" s="56" t="s">
        <v>21</v>
      </c>
      <c r="D136" s="54" t="s">
        <v>14</v>
      </c>
    </row>
    <row r="137" spans="1:4">
      <c r="A137" s="55">
        <v>47315</v>
      </c>
      <c r="B137" s="52" t="str">
        <f t="shared" si="2"/>
        <v>月</v>
      </c>
      <c r="C137" s="56" t="s">
        <v>22</v>
      </c>
      <c r="D137" s="54" t="s">
        <v>14</v>
      </c>
    </row>
    <row r="138" spans="1:4">
      <c r="A138" s="55">
        <v>47341</v>
      </c>
      <c r="B138" s="52" t="str">
        <f t="shared" si="2"/>
        <v>土</v>
      </c>
      <c r="C138" s="56" t="s">
        <v>23</v>
      </c>
      <c r="D138" s="54" t="s">
        <v>14</v>
      </c>
    </row>
    <row r="139" spans="1:4">
      <c r="A139" s="55">
        <v>47378</v>
      </c>
      <c r="B139" s="52" t="str">
        <f t="shared" si="2"/>
        <v>月</v>
      </c>
      <c r="C139" s="56" t="s">
        <v>24</v>
      </c>
      <c r="D139" s="54" t="s">
        <v>14</v>
      </c>
    </row>
    <row r="140" spans="1:4">
      <c r="A140" s="55">
        <v>47384</v>
      </c>
      <c r="B140" s="52" t="str">
        <f t="shared" si="2"/>
        <v>日</v>
      </c>
      <c r="C140" s="56" t="s">
        <v>25</v>
      </c>
      <c r="D140" s="54" t="s">
        <v>14</v>
      </c>
    </row>
    <row r="141" spans="1:4">
      <c r="A141" s="55">
        <v>47385</v>
      </c>
      <c r="B141" s="52" t="str">
        <f t="shared" si="2"/>
        <v>月</v>
      </c>
      <c r="C141" s="56" t="s">
        <v>16</v>
      </c>
      <c r="D141" s="54" t="s">
        <v>14</v>
      </c>
    </row>
    <row r="142" spans="1:4">
      <c r="A142" s="55">
        <v>47399</v>
      </c>
      <c r="B142" s="52" t="str">
        <f t="shared" si="2"/>
        <v>月</v>
      </c>
      <c r="C142" s="56" t="s">
        <v>26</v>
      </c>
      <c r="D142" s="54" t="s">
        <v>14</v>
      </c>
    </row>
    <row r="143" spans="1:4">
      <c r="A143" s="55">
        <v>47425</v>
      </c>
      <c r="B143" s="52" t="str">
        <f t="shared" si="2"/>
        <v>土</v>
      </c>
      <c r="C143" s="56" t="s">
        <v>27</v>
      </c>
      <c r="D143" s="54" t="s">
        <v>14</v>
      </c>
    </row>
    <row r="144" spans="1:4">
      <c r="A144" s="55">
        <v>47445</v>
      </c>
      <c r="B144" s="52" t="str">
        <f t="shared" si="2"/>
        <v>金</v>
      </c>
      <c r="C144" s="56" t="s">
        <v>28</v>
      </c>
      <c r="D144" s="54" t="s">
        <v>14</v>
      </c>
    </row>
    <row r="145" spans="1:4">
      <c r="A145" s="55">
        <v>47484</v>
      </c>
      <c r="B145" s="52" t="str">
        <f t="shared" si="2"/>
        <v>火</v>
      </c>
      <c r="C145" s="56" t="s">
        <v>11</v>
      </c>
      <c r="D145" s="54" t="s">
        <v>14</v>
      </c>
    </row>
    <row r="146" spans="1:4">
      <c r="A146" s="55">
        <v>47497</v>
      </c>
      <c r="B146" s="52" t="str">
        <f t="shared" si="2"/>
        <v>月</v>
      </c>
      <c r="C146" s="56" t="s">
        <v>12</v>
      </c>
      <c r="D146" s="54" t="s">
        <v>14</v>
      </c>
    </row>
    <row r="147" spans="1:4">
      <c r="A147" s="55">
        <v>47525</v>
      </c>
      <c r="B147" s="52" t="str">
        <f t="shared" si="2"/>
        <v>月</v>
      </c>
      <c r="C147" s="56" t="s">
        <v>13</v>
      </c>
      <c r="D147" s="54" t="s">
        <v>14</v>
      </c>
    </row>
    <row r="148" spans="1:4">
      <c r="A148" s="55">
        <v>47537</v>
      </c>
      <c r="B148" s="52" t="str">
        <f t="shared" si="2"/>
        <v>土</v>
      </c>
      <c r="C148" s="56" t="s">
        <v>15</v>
      </c>
      <c r="D148" s="54" t="s">
        <v>14</v>
      </c>
    </row>
    <row r="149" spans="1:4">
      <c r="A149" s="55">
        <v>47562</v>
      </c>
      <c r="B149" s="52" t="str">
        <f t="shared" si="2"/>
        <v>水</v>
      </c>
      <c r="C149" s="56" t="s">
        <v>17</v>
      </c>
      <c r="D149" s="54" t="s">
        <v>14</v>
      </c>
    </row>
    <row r="150" spans="1:4">
      <c r="A150" s="55">
        <v>47602</v>
      </c>
      <c r="B150" s="52" t="str">
        <f t="shared" si="2"/>
        <v>月</v>
      </c>
      <c r="C150" s="56" t="s">
        <v>18</v>
      </c>
      <c r="D150" s="54" t="s">
        <v>14</v>
      </c>
    </row>
    <row r="151" spans="1:4">
      <c r="A151" s="57">
        <v>47606</v>
      </c>
      <c r="B151" s="58" t="str">
        <f t="shared" si="2"/>
        <v>金</v>
      </c>
      <c r="C151" s="53" t="s">
        <v>19</v>
      </c>
      <c r="D151" s="54" t="s">
        <v>14</v>
      </c>
    </row>
    <row r="152" spans="1:4">
      <c r="A152" s="57">
        <v>47607</v>
      </c>
      <c r="B152" s="58" t="str">
        <f t="shared" si="2"/>
        <v>土</v>
      </c>
      <c r="C152" s="59" t="s">
        <v>20</v>
      </c>
      <c r="D152" s="54" t="s">
        <v>14</v>
      </c>
    </row>
    <row r="153" spans="1:4">
      <c r="A153" s="57">
        <v>47608</v>
      </c>
      <c r="B153" s="58" t="str">
        <f t="shared" si="2"/>
        <v>日</v>
      </c>
      <c r="C153" s="59" t="s">
        <v>21</v>
      </c>
      <c r="D153" s="54" t="s">
        <v>14</v>
      </c>
    </row>
    <row r="154" spans="1:4">
      <c r="A154" s="57">
        <v>47609</v>
      </c>
      <c r="B154" s="58" t="str">
        <f t="shared" si="2"/>
        <v>月</v>
      </c>
      <c r="C154" s="56" t="s">
        <v>16</v>
      </c>
      <c r="D154" s="54" t="s">
        <v>14</v>
      </c>
    </row>
    <row r="155" spans="1:4">
      <c r="A155" s="57">
        <v>47679</v>
      </c>
      <c r="B155" s="58" t="str">
        <f t="shared" si="2"/>
        <v>月</v>
      </c>
      <c r="C155" s="59" t="s">
        <v>22</v>
      </c>
      <c r="D155" s="54" t="s">
        <v>14</v>
      </c>
    </row>
    <row r="156" spans="1:4">
      <c r="A156" s="57">
        <v>47706</v>
      </c>
      <c r="B156" s="58" t="str">
        <f t="shared" si="2"/>
        <v>日</v>
      </c>
      <c r="C156" s="59" t="s">
        <v>23</v>
      </c>
      <c r="D156" s="54" t="s">
        <v>14</v>
      </c>
    </row>
    <row r="157" spans="1:4">
      <c r="A157" s="57">
        <v>47707</v>
      </c>
      <c r="B157" s="58" t="str">
        <f t="shared" si="2"/>
        <v>月</v>
      </c>
      <c r="C157" s="59" t="s">
        <v>16</v>
      </c>
      <c r="D157" s="54" t="s">
        <v>14</v>
      </c>
    </row>
    <row r="158" spans="1:4">
      <c r="A158" s="57">
        <v>47742</v>
      </c>
      <c r="B158" s="58" t="str">
        <f t="shared" si="2"/>
        <v>月</v>
      </c>
      <c r="C158" s="59" t="s">
        <v>24</v>
      </c>
      <c r="D158" s="54" t="s">
        <v>14</v>
      </c>
    </row>
    <row r="159" spans="1:4">
      <c r="A159" s="57">
        <v>47749</v>
      </c>
      <c r="B159" s="58" t="str">
        <f t="shared" si="2"/>
        <v>月</v>
      </c>
      <c r="C159" s="56" t="s">
        <v>25</v>
      </c>
      <c r="D159" s="54" t="s">
        <v>14</v>
      </c>
    </row>
    <row r="160" spans="1:4">
      <c r="A160" s="57">
        <v>47770</v>
      </c>
      <c r="B160" s="58" t="str">
        <f t="shared" si="2"/>
        <v>月</v>
      </c>
      <c r="C160" s="59" t="s">
        <v>26</v>
      </c>
      <c r="D160" s="54" t="s">
        <v>14</v>
      </c>
    </row>
    <row r="161" spans="1:4">
      <c r="A161" s="57">
        <v>47790</v>
      </c>
      <c r="B161" s="58" t="str">
        <f t="shared" si="2"/>
        <v>日</v>
      </c>
      <c r="C161" s="59" t="s">
        <v>27</v>
      </c>
      <c r="D161" s="54" t="s">
        <v>14</v>
      </c>
    </row>
    <row r="162" spans="1:4">
      <c r="A162" s="57">
        <v>47791</v>
      </c>
      <c r="B162" s="58" t="str">
        <f t="shared" si="2"/>
        <v>月</v>
      </c>
      <c r="C162" s="59" t="s">
        <v>16</v>
      </c>
      <c r="D162" s="54" t="s">
        <v>14</v>
      </c>
    </row>
    <row r="163" spans="1:4">
      <c r="A163" s="57">
        <v>47810</v>
      </c>
      <c r="B163" s="58" t="str">
        <f t="shared" si="2"/>
        <v>土</v>
      </c>
      <c r="C163" s="59" t="s">
        <v>28</v>
      </c>
      <c r="D163" s="54" t="s">
        <v>14</v>
      </c>
    </row>
    <row r="164" spans="1:4">
      <c r="A164" s="57">
        <v>47849</v>
      </c>
      <c r="B164" s="58" t="str">
        <f t="shared" si="2"/>
        <v>水</v>
      </c>
      <c r="C164" s="59" t="s">
        <v>11</v>
      </c>
      <c r="D164" s="54" t="s">
        <v>14</v>
      </c>
    </row>
    <row r="165" spans="1:4">
      <c r="A165" s="57">
        <v>47861</v>
      </c>
      <c r="B165" s="58" t="str">
        <f t="shared" si="2"/>
        <v>月</v>
      </c>
      <c r="C165" s="56" t="s">
        <v>12</v>
      </c>
      <c r="D165" s="54" t="s">
        <v>14</v>
      </c>
    </row>
    <row r="166" spans="1:4">
      <c r="A166" s="57">
        <v>47890</v>
      </c>
      <c r="B166" s="58" t="str">
        <f t="shared" si="2"/>
        <v>火</v>
      </c>
      <c r="C166" s="59" t="s">
        <v>13</v>
      </c>
      <c r="D166" s="54" t="s">
        <v>14</v>
      </c>
    </row>
    <row r="167" spans="1:4">
      <c r="A167" s="57">
        <v>47902</v>
      </c>
      <c r="B167" s="58" t="str">
        <f t="shared" si="2"/>
        <v>日</v>
      </c>
      <c r="C167" s="59" t="s">
        <v>15</v>
      </c>
      <c r="D167" s="54" t="s">
        <v>14</v>
      </c>
    </row>
    <row r="168" spans="1:4">
      <c r="A168" s="57">
        <v>47903</v>
      </c>
      <c r="B168" s="58" t="str">
        <f t="shared" si="2"/>
        <v>月</v>
      </c>
      <c r="C168" s="59" t="s">
        <v>16</v>
      </c>
      <c r="D168" s="54" t="s">
        <v>14</v>
      </c>
    </row>
    <row r="169" spans="1:4">
      <c r="A169" s="57">
        <v>47928</v>
      </c>
      <c r="B169" s="58" t="str">
        <f t="shared" si="2"/>
        <v>金</v>
      </c>
      <c r="C169" s="59" t="s">
        <v>17</v>
      </c>
      <c r="D169" s="54" t="s">
        <v>14</v>
      </c>
    </row>
    <row r="170" spans="1:4">
      <c r="A170" s="57">
        <v>47967</v>
      </c>
      <c r="B170" s="58" t="str">
        <f t="shared" si="2"/>
        <v>火</v>
      </c>
      <c r="C170" s="59" t="s">
        <v>18</v>
      </c>
      <c r="D170" s="54" t="s">
        <v>14</v>
      </c>
    </row>
    <row r="171" spans="1:4">
      <c r="A171" s="57">
        <v>47971</v>
      </c>
      <c r="B171" s="58" t="str">
        <f t="shared" si="2"/>
        <v>土</v>
      </c>
      <c r="C171" s="59" t="s">
        <v>19</v>
      </c>
      <c r="D171" s="54" t="s">
        <v>14</v>
      </c>
    </row>
    <row r="172" spans="1:4">
      <c r="A172" s="57">
        <v>47972</v>
      </c>
      <c r="B172" s="58" t="str">
        <f t="shared" si="2"/>
        <v>日</v>
      </c>
      <c r="C172" s="56" t="s">
        <v>20</v>
      </c>
      <c r="D172" s="54" t="s">
        <v>14</v>
      </c>
    </row>
    <row r="173" spans="1:4">
      <c r="A173" s="57">
        <v>47973</v>
      </c>
      <c r="B173" s="58" t="str">
        <f t="shared" si="2"/>
        <v>月</v>
      </c>
      <c r="C173" s="56" t="s">
        <v>21</v>
      </c>
      <c r="D173" s="54" t="s">
        <v>14</v>
      </c>
    </row>
    <row r="174" spans="1:4">
      <c r="A174" s="57">
        <v>47974</v>
      </c>
      <c r="B174" s="58" t="str">
        <f t="shared" si="2"/>
        <v>火</v>
      </c>
      <c r="C174" s="56" t="s">
        <v>16</v>
      </c>
      <c r="D174" s="54" t="s">
        <v>14</v>
      </c>
    </row>
    <row r="175" spans="1:4">
      <c r="A175" s="57">
        <v>48050</v>
      </c>
      <c r="B175" s="58" t="str">
        <f t="shared" si="2"/>
        <v>月</v>
      </c>
      <c r="C175" s="56" t="s">
        <v>22</v>
      </c>
      <c r="D175" s="54" t="s">
        <v>14</v>
      </c>
    </row>
    <row r="176" spans="1:4">
      <c r="A176" s="57">
        <v>48071</v>
      </c>
      <c r="B176" s="58" t="str">
        <f t="shared" si="2"/>
        <v>月</v>
      </c>
      <c r="C176" s="56" t="s">
        <v>23</v>
      </c>
      <c r="D176" s="54" t="s">
        <v>14</v>
      </c>
    </row>
    <row r="177" spans="1:4">
      <c r="A177" s="57">
        <v>48106</v>
      </c>
      <c r="B177" s="58" t="str">
        <f t="shared" si="2"/>
        <v>月</v>
      </c>
      <c r="C177" s="59" t="s">
        <v>24</v>
      </c>
      <c r="D177" s="54" t="s">
        <v>14</v>
      </c>
    </row>
    <row r="178" spans="1:4">
      <c r="A178" s="57">
        <v>48114</v>
      </c>
      <c r="B178" s="58" t="str">
        <f t="shared" si="2"/>
        <v>火</v>
      </c>
      <c r="C178" s="59" t="s">
        <v>25</v>
      </c>
      <c r="D178" s="54" t="s">
        <v>14</v>
      </c>
    </row>
    <row r="179" spans="1:4">
      <c r="A179" s="57">
        <v>48134</v>
      </c>
      <c r="B179" s="58" t="str">
        <f t="shared" si="2"/>
        <v>月</v>
      </c>
      <c r="C179" s="59" t="s">
        <v>26</v>
      </c>
      <c r="D179" s="54" t="s">
        <v>14</v>
      </c>
    </row>
    <row r="180" spans="1:4">
      <c r="A180" s="57">
        <v>48155</v>
      </c>
      <c r="B180" s="58" t="str">
        <f t="shared" si="2"/>
        <v>月</v>
      </c>
      <c r="C180" s="59" t="s">
        <v>27</v>
      </c>
      <c r="D180" s="54" t="s">
        <v>14</v>
      </c>
    </row>
    <row r="181" spans="1:4">
      <c r="A181" s="57">
        <v>48175</v>
      </c>
      <c r="B181" s="58" t="str">
        <f t="shared" si="2"/>
        <v>日</v>
      </c>
      <c r="C181" s="59" t="s">
        <v>28</v>
      </c>
      <c r="D181" s="54" t="s">
        <v>14</v>
      </c>
    </row>
    <row r="182" spans="1:4">
      <c r="A182" s="57">
        <v>48176</v>
      </c>
      <c r="B182" s="58" t="str">
        <f t="shared" si="2"/>
        <v>月</v>
      </c>
      <c r="C182" s="59" t="s">
        <v>16</v>
      </c>
      <c r="D182" s="54" t="s">
        <v>14</v>
      </c>
    </row>
    <row r="183" spans="1:4">
      <c r="A183" s="57">
        <v>48214</v>
      </c>
      <c r="B183" s="58" t="str">
        <f t="shared" si="2"/>
        <v>木</v>
      </c>
      <c r="C183" s="59" t="s">
        <v>11</v>
      </c>
      <c r="D183" s="54" t="s">
        <v>14</v>
      </c>
    </row>
    <row r="184" spans="1:4">
      <c r="A184" s="57">
        <v>48225</v>
      </c>
      <c r="B184" s="58" t="str">
        <f t="shared" si="2"/>
        <v>月</v>
      </c>
      <c r="C184" s="59" t="s">
        <v>12</v>
      </c>
      <c r="D184" s="54" t="s">
        <v>14</v>
      </c>
    </row>
    <row r="185" spans="1:4">
      <c r="A185" s="57">
        <v>48255</v>
      </c>
      <c r="B185" s="58" t="str">
        <f t="shared" si="2"/>
        <v>水</v>
      </c>
      <c r="C185" s="59" t="s">
        <v>13</v>
      </c>
      <c r="D185" s="54" t="s">
        <v>14</v>
      </c>
    </row>
    <row r="186" spans="1:4">
      <c r="A186" s="57">
        <v>48267</v>
      </c>
      <c r="B186" s="58" t="str">
        <f t="shared" si="2"/>
        <v>月</v>
      </c>
      <c r="C186" s="59" t="s">
        <v>15</v>
      </c>
      <c r="D186" s="54" t="s">
        <v>14</v>
      </c>
    </row>
    <row r="187" spans="1:4">
      <c r="A187" s="57">
        <v>48293</v>
      </c>
      <c r="B187" s="58" t="str">
        <f t="shared" si="2"/>
        <v>土</v>
      </c>
      <c r="C187" s="59" t="s">
        <v>17</v>
      </c>
      <c r="D187" s="54" t="s">
        <v>14</v>
      </c>
    </row>
    <row r="188" spans="1:4">
      <c r="A188" s="57">
        <v>48333</v>
      </c>
      <c r="B188" s="58" t="str">
        <f t="shared" si="2"/>
        <v>木</v>
      </c>
      <c r="C188" s="56" t="s">
        <v>18</v>
      </c>
      <c r="D188" s="54" t="s">
        <v>14</v>
      </c>
    </row>
    <row r="189" spans="1:4">
      <c r="A189" s="57">
        <v>48337</v>
      </c>
      <c r="B189" s="58" t="str">
        <f t="shared" si="2"/>
        <v>月</v>
      </c>
      <c r="C189" s="59" t="s">
        <v>19</v>
      </c>
      <c r="D189" s="54" t="s">
        <v>14</v>
      </c>
    </row>
    <row r="190" spans="1:4">
      <c r="A190" s="57">
        <v>48338</v>
      </c>
      <c r="B190" s="58" t="str">
        <f t="shared" si="2"/>
        <v>火</v>
      </c>
      <c r="C190" s="59" t="s">
        <v>20</v>
      </c>
      <c r="D190" s="54" t="s">
        <v>14</v>
      </c>
    </row>
    <row r="191" spans="1:4">
      <c r="A191" s="57">
        <v>48339</v>
      </c>
      <c r="B191" s="58" t="str">
        <f t="shared" si="2"/>
        <v>水</v>
      </c>
      <c r="C191" s="59" t="s">
        <v>21</v>
      </c>
      <c r="D191" s="54" t="s">
        <v>14</v>
      </c>
    </row>
    <row r="192" spans="1:4">
      <c r="A192" s="57">
        <v>48414</v>
      </c>
      <c r="B192" s="58" t="str">
        <f t="shared" si="2"/>
        <v>月</v>
      </c>
      <c r="C192" s="59" t="s">
        <v>22</v>
      </c>
      <c r="D192" s="54" t="s">
        <v>14</v>
      </c>
    </row>
    <row r="193" spans="1:4">
      <c r="A193" s="57">
        <v>48437</v>
      </c>
      <c r="B193" s="58" t="str">
        <f t="shared" si="2"/>
        <v>水</v>
      </c>
      <c r="C193" s="59" t="s">
        <v>23</v>
      </c>
      <c r="D193" s="54" t="s">
        <v>14</v>
      </c>
    </row>
    <row r="194" spans="1:4">
      <c r="A194" s="57">
        <v>48477</v>
      </c>
      <c r="B194" s="58" t="str">
        <f t="shared" si="2"/>
        <v>月</v>
      </c>
      <c r="C194" s="59" t="s">
        <v>24</v>
      </c>
      <c r="D194" s="54" t="s">
        <v>14</v>
      </c>
    </row>
    <row r="195" spans="1:4">
      <c r="A195" s="57">
        <v>48478</v>
      </c>
      <c r="B195" s="58" t="str">
        <f t="shared" ref="B195:B258" si="3">IF(A195="","",TEXT(A195,"aaa"))</f>
        <v>火</v>
      </c>
      <c r="C195" s="59" t="s">
        <v>48</v>
      </c>
      <c r="D195" s="54" t="s">
        <v>14</v>
      </c>
    </row>
    <row r="196" spans="1:4">
      <c r="A196" s="57">
        <v>48479</v>
      </c>
      <c r="B196" s="58" t="str">
        <f t="shared" si="3"/>
        <v>水</v>
      </c>
      <c r="C196" s="59" t="s">
        <v>25</v>
      </c>
      <c r="D196" s="54" t="s">
        <v>14</v>
      </c>
    </row>
    <row r="197" spans="1:4">
      <c r="A197" s="57">
        <v>48498</v>
      </c>
      <c r="B197" s="58" t="str">
        <f t="shared" si="3"/>
        <v>月</v>
      </c>
      <c r="C197" s="56" t="s">
        <v>26</v>
      </c>
      <c r="D197" s="54" t="s">
        <v>14</v>
      </c>
    </row>
    <row r="198" spans="1:4">
      <c r="A198" s="57">
        <v>48521</v>
      </c>
      <c r="B198" s="58" t="str">
        <f t="shared" si="3"/>
        <v>水</v>
      </c>
      <c r="C198" s="59" t="s">
        <v>27</v>
      </c>
      <c r="D198" s="54" t="s">
        <v>14</v>
      </c>
    </row>
    <row r="199" spans="1:4">
      <c r="A199" s="57">
        <v>48541</v>
      </c>
      <c r="B199" s="58" t="str">
        <f t="shared" si="3"/>
        <v>火</v>
      </c>
      <c r="C199" s="56" t="s">
        <v>28</v>
      </c>
      <c r="D199" s="54" t="s">
        <v>14</v>
      </c>
    </row>
    <row r="200" spans="1:4">
      <c r="A200" s="57">
        <v>48580</v>
      </c>
      <c r="B200" s="58" t="str">
        <f t="shared" si="3"/>
        <v>土</v>
      </c>
      <c r="C200" s="59" t="s">
        <v>11</v>
      </c>
      <c r="D200" s="54" t="s">
        <v>14</v>
      </c>
    </row>
    <row r="201" spans="1:4">
      <c r="A201" s="57">
        <v>48589</v>
      </c>
      <c r="B201" s="58" t="str">
        <f t="shared" si="3"/>
        <v>月</v>
      </c>
      <c r="C201" s="59" t="s">
        <v>12</v>
      </c>
      <c r="D201" s="54" t="s">
        <v>14</v>
      </c>
    </row>
    <row r="202" spans="1:4">
      <c r="A202" s="57">
        <v>48621</v>
      </c>
      <c r="B202" s="58" t="str">
        <f t="shared" si="3"/>
        <v>金</v>
      </c>
      <c r="C202" s="59" t="s">
        <v>13</v>
      </c>
      <c r="D202" s="54" t="s">
        <v>14</v>
      </c>
    </row>
    <row r="203" spans="1:4">
      <c r="A203" s="57">
        <v>48633</v>
      </c>
      <c r="B203" s="58" t="str">
        <f t="shared" si="3"/>
        <v>水</v>
      </c>
      <c r="C203" s="56" t="s">
        <v>15</v>
      </c>
      <c r="D203" s="54" t="s">
        <v>14</v>
      </c>
    </row>
    <row r="204" spans="1:4">
      <c r="A204" s="57">
        <v>48658</v>
      </c>
      <c r="B204" s="58" t="str">
        <f t="shared" si="3"/>
        <v>日</v>
      </c>
      <c r="C204" s="59" t="s">
        <v>17</v>
      </c>
      <c r="D204" s="54" t="s">
        <v>14</v>
      </c>
    </row>
    <row r="205" spans="1:4">
      <c r="A205" s="57">
        <v>48659</v>
      </c>
      <c r="B205" s="58" t="str">
        <f t="shared" si="3"/>
        <v>月</v>
      </c>
      <c r="C205" s="59" t="s">
        <v>16</v>
      </c>
      <c r="D205" s="54" t="s">
        <v>14</v>
      </c>
    </row>
    <row r="206" spans="1:4">
      <c r="A206" s="57">
        <v>48698</v>
      </c>
      <c r="B206" s="58" t="str">
        <f t="shared" si="3"/>
        <v>金</v>
      </c>
      <c r="C206" s="59" t="s">
        <v>18</v>
      </c>
      <c r="D206" s="54" t="s">
        <v>14</v>
      </c>
    </row>
    <row r="207" spans="1:4">
      <c r="A207" s="57">
        <v>48702</v>
      </c>
      <c r="B207" s="58" t="str">
        <f t="shared" si="3"/>
        <v>火</v>
      </c>
      <c r="C207" s="56" t="s">
        <v>19</v>
      </c>
      <c r="D207" s="54" t="s">
        <v>14</v>
      </c>
    </row>
    <row r="208" spans="1:4">
      <c r="A208" s="57">
        <v>48703</v>
      </c>
      <c r="B208" s="58" t="str">
        <f t="shared" si="3"/>
        <v>水</v>
      </c>
      <c r="C208" s="59" t="s">
        <v>20</v>
      </c>
      <c r="D208" s="54" t="s">
        <v>14</v>
      </c>
    </row>
    <row r="209" spans="1:4">
      <c r="A209" s="57">
        <v>48704</v>
      </c>
      <c r="B209" s="58" t="str">
        <f t="shared" si="3"/>
        <v>木</v>
      </c>
      <c r="C209" s="59" t="s">
        <v>21</v>
      </c>
      <c r="D209" s="54" t="s">
        <v>14</v>
      </c>
    </row>
    <row r="210" spans="1:4">
      <c r="A210" s="57">
        <v>48778</v>
      </c>
      <c r="B210" s="58" t="str">
        <f t="shared" si="3"/>
        <v>月</v>
      </c>
      <c r="C210" s="59" t="s">
        <v>22</v>
      </c>
      <c r="D210" s="54" t="s">
        <v>14</v>
      </c>
    </row>
    <row r="211" spans="1:4">
      <c r="A211" s="57">
        <v>48802</v>
      </c>
      <c r="B211" s="58" t="str">
        <f t="shared" si="3"/>
        <v>木</v>
      </c>
      <c r="C211" s="56" t="s">
        <v>23</v>
      </c>
      <c r="D211" s="54" t="s">
        <v>14</v>
      </c>
    </row>
    <row r="212" spans="1:4">
      <c r="A212" s="57">
        <v>48841</v>
      </c>
      <c r="B212" s="58" t="str">
        <f t="shared" si="3"/>
        <v>月</v>
      </c>
      <c r="C212" s="56" t="s">
        <v>24</v>
      </c>
      <c r="D212" s="54" t="s">
        <v>14</v>
      </c>
    </row>
    <row r="213" spans="1:4">
      <c r="A213" s="57">
        <v>48845</v>
      </c>
      <c r="B213" s="58" t="str">
        <f t="shared" si="3"/>
        <v>金</v>
      </c>
      <c r="C213" s="59" t="s">
        <v>25</v>
      </c>
      <c r="D213" s="54" t="s">
        <v>14</v>
      </c>
    </row>
    <row r="214" spans="1:4">
      <c r="A214" s="57">
        <v>48862</v>
      </c>
      <c r="B214" s="58" t="str">
        <f t="shared" si="3"/>
        <v>月</v>
      </c>
      <c r="C214" s="59" t="s">
        <v>26</v>
      </c>
      <c r="D214" s="54" t="s">
        <v>14</v>
      </c>
    </row>
    <row r="215" spans="1:4">
      <c r="A215" s="57">
        <v>48886</v>
      </c>
      <c r="B215" s="58" t="str">
        <f t="shared" si="3"/>
        <v>木</v>
      </c>
      <c r="C215" s="59" t="s">
        <v>27</v>
      </c>
      <c r="D215" s="54" t="s">
        <v>14</v>
      </c>
    </row>
    <row r="216" spans="1:4">
      <c r="A216" s="57">
        <v>48906</v>
      </c>
      <c r="B216" s="58" t="str">
        <f t="shared" si="3"/>
        <v>水</v>
      </c>
      <c r="C216" s="59" t="s">
        <v>28</v>
      </c>
      <c r="D216" s="54" t="s">
        <v>14</v>
      </c>
    </row>
    <row r="217" spans="1:4">
      <c r="A217" s="57">
        <v>48945</v>
      </c>
      <c r="B217" s="58" t="str">
        <f t="shared" si="3"/>
        <v>日</v>
      </c>
      <c r="C217" s="56" t="s">
        <v>11</v>
      </c>
      <c r="D217" s="54" t="s">
        <v>14</v>
      </c>
    </row>
    <row r="218" spans="1:4">
      <c r="A218" s="57">
        <v>48946</v>
      </c>
      <c r="B218" s="58" t="str">
        <f t="shared" si="3"/>
        <v>月</v>
      </c>
      <c r="C218" s="59" t="s">
        <v>16</v>
      </c>
      <c r="D218" s="54" t="s">
        <v>14</v>
      </c>
    </row>
    <row r="219" spans="1:4">
      <c r="A219" s="57">
        <v>48953</v>
      </c>
      <c r="B219" s="58" t="str">
        <f t="shared" si="3"/>
        <v>月</v>
      </c>
      <c r="C219" s="59" t="s">
        <v>12</v>
      </c>
      <c r="D219" s="54" t="s">
        <v>14</v>
      </c>
    </row>
    <row r="220" spans="1:4">
      <c r="A220" s="57">
        <v>48986</v>
      </c>
      <c r="B220" s="58" t="str">
        <f t="shared" si="3"/>
        <v>土</v>
      </c>
      <c r="C220" s="59" t="s">
        <v>13</v>
      </c>
      <c r="D220" s="54" t="s">
        <v>14</v>
      </c>
    </row>
    <row r="221" spans="1:4">
      <c r="A221" s="57">
        <v>48998</v>
      </c>
      <c r="B221" s="58" t="str">
        <f t="shared" si="3"/>
        <v>木</v>
      </c>
      <c r="C221" s="59" t="s">
        <v>15</v>
      </c>
      <c r="D221" s="54" t="s">
        <v>14</v>
      </c>
    </row>
    <row r="222" spans="1:4">
      <c r="A222" s="57">
        <v>49023</v>
      </c>
      <c r="B222" s="58" t="str">
        <f t="shared" si="3"/>
        <v>月</v>
      </c>
      <c r="C222" s="59" t="s">
        <v>17</v>
      </c>
      <c r="D222" s="54" t="s">
        <v>14</v>
      </c>
    </row>
    <row r="223" spans="1:4">
      <c r="A223" s="57">
        <v>49063</v>
      </c>
      <c r="B223" s="58" t="str">
        <f t="shared" si="3"/>
        <v>土</v>
      </c>
      <c r="C223" s="59" t="s">
        <v>18</v>
      </c>
      <c r="D223" s="54" t="s">
        <v>14</v>
      </c>
    </row>
    <row r="224" spans="1:4">
      <c r="A224" s="57">
        <v>49067</v>
      </c>
      <c r="B224" s="58" t="str">
        <f t="shared" si="3"/>
        <v>水</v>
      </c>
      <c r="C224" s="59" t="s">
        <v>19</v>
      </c>
      <c r="D224" s="54" t="s">
        <v>14</v>
      </c>
    </row>
    <row r="225" spans="1:4">
      <c r="A225" s="57">
        <v>49068</v>
      </c>
      <c r="B225" s="58" t="str">
        <f t="shared" si="3"/>
        <v>木</v>
      </c>
      <c r="C225" s="59" t="s">
        <v>20</v>
      </c>
      <c r="D225" s="54" t="s">
        <v>14</v>
      </c>
    </row>
    <row r="226" spans="1:4">
      <c r="A226" s="57">
        <v>49069</v>
      </c>
      <c r="B226" s="58" t="str">
        <f t="shared" si="3"/>
        <v>金</v>
      </c>
      <c r="C226" s="59" t="s">
        <v>21</v>
      </c>
      <c r="D226" s="54" t="s">
        <v>14</v>
      </c>
    </row>
    <row r="227" spans="1:4">
      <c r="A227" s="57">
        <v>49142</v>
      </c>
      <c r="B227" s="58" t="str">
        <f t="shared" si="3"/>
        <v>月</v>
      </c>
      <c r="C227" s="59" t="s">
        <v>22</v>
      </c>
      <c r="D227" s="54" t="s">
        <v>14</v>
      </c>
    </row>
    <row r="228" spans="1:4">
      <c r="A228" s="57">
        <v>49167</v>
      </c>
      <c r="B228" s="58" t="str">
        <f t="shared" si="3"/>
        <v>金</v>
      </c>
      <c r="C228" s="59" t="s">
        <v>23</v>
      </c>
      <c r="D228" s="54" t="s">
        <v>14</v>
      </c>
    </row>
    <row r="229" spans="1:4">
      <c r="A229" s="57">
        <v>49205</v>
      </c>
      <c r="B229" s="58" t="str">
        <f t="shared" si="3"/>
        <v>月</v>
      </c>
      <c r="C229" s="59" t="s">
        <v>24</v>
      </c>
      <c r="D229" s="54" t="s">
        <v>14</v>
      </c>
    </row>
    <row r="230" spans="1:4">
      <c r="A230" s="57">
        <v>49210</v>
      </c>
      <c r="B230" s="58" t="str">
        <f t="shared" si="3"/>
        <v>土</v>
      </c>
      <c r="C230" s="59" t="s">
        <v>25</v>
      </c>
      <c r="D230" s="54" t="s">
        <v>14</v>
      </c>
    </row>
    <row r="231" spans="1:4">
      <c r="A231" s="57">
        <v>49226</v>
      </c>
      <c r="B231" s="58" t="str">
        <f t="shared" si="3"/>
        <v>月</v>
      </c>
      <c r="C231" s="59" t="s">
        <v>26</v>
      </c>
      <c r="D231" s="54" t="s">
        <v>14</v>
      </c>
    </row>
    <row r="232" spans="1:4">
      <c r="A232" s="57">
        <v>49251</v>
      </c>
      <c r="B232" s="58" t="str">
        <f t="shared" si="3"/>
        <v>金</v>
      </c>
      <c r="C232" s="59" t="s">
        <v>27</v>
      </c>
      <c r="D232" s="54" t="s">
        <v>14</v>
      </c>
    </row>
    <row r="233" spans="1:4">
      <c r="A233" s="57">
        <v>49271</v>
      </c>
      <c r="B233" s="58" t="str">
        <f t="shared" si="3"/>
        <v>木</v>
      </c>
      <c r="C233" s="59" t="s">
        <v>28</v>
      </c>
      <c r="D233" s="54" t="s">
        <v>14</v>
      </c>
    </row>
    <row r="234" spans="1:4">
      <c r="A234" s="57">
        <v>49310</v>
      </c>
      <c r="B234" s="58" t="str">
        <f t="shared" si="3"/>
        <v>月</v>
      </c>
      <c r="C234" s="59" t="s">
        <v>11</v>
      </c>
      <c r="D234" s="54" t="s">
        <v>14</v>
      </c>
    </row>
    <row r="235" spans="1:4">
      <c r="A235" s="57">
        <v>49317</v>
      </c>
      <c r="B235" s="58" t="str">
        <f t="shared" si="3"/>
        <v>月</v>
      </c>
      <c r="C235" s="59" t="s">
        <v>12</v>
      </c>
      <c r="D235" s="54" t="s">
        <v>14</v>
      </c>
    </row>
    <row r="236" spans="1:4">
      <c r="A236" s="57">
        <v>49351</v>
      </c>
      <c r="B236" s="58" t="str">
        <f t="shared" si="3"/>
        <v>日</v>
      </c>
      <c r="C236" s="59" t="s">
        <v>13</v>
      </c>
      <c r="D236" s="54" t="s">
        <v>14</v>
      </c>
    </row>
    <row r="237" spans="1:4">
      <c r="A237" s="57">
        <v>49352</v>
      </c>
      <c r="B237" s="58" t="str">
        <f t="shared" si="3"/>
        <v>月</v>
      </c>
      <c r="C237" s="59" t="s">
        <v>16</v>
      </c>
      <c r="D237" s="54" t="s">
        <v>14</v>
      </c>
    </row>
    <row r="238" spans="1:4">
      <c r="A238" s="57">
        <v>49363</v>
      </c>
      <c r="B238" s="58" t="str">
        <f t="shared" si="3"/>
        <v>金</v>
      </c>
      <c r="C238" s="59" t="s">
        <v>15</v>
      </c>
      <c r="D238" s="54" t="s">
        <v>14</v>
      </c>
    </row>
    <row r="239" spans="1:4">
      <c r="A239" s="57">
        <v>49389</v>
      </c>
      <c r="B239" s="58" t="str">
        <f t="shared" si="3"/>
        <v>水</v>
      </c>
      <c r="C239" s="59" t="s">
        <v>17</v>
      </c>
      <c r="D239" s="54" t="s">
        <v>14</v>
      </c>
    </row>
    <row r="240" spans="1:4">
      <c r="A240" s="57">
        <v>49428</v>
      </c>
      <c r="B240" s="58" t="str">
        <f t="shared" si="3"/>
        <v>日</v>
      </c>
      <c r="C240" s="59" t="s">
        <v>18</v>
      </c>
      <c r="D240" s="54" t="s">
        <v>14</v>
      </c>
    </row>
    <row r="241" spans="1:4">
      <c r="A241" s="57">
        <v>49429</v>
      </c>
      <c r="B241" s="58" t="str">
        <f t="shared" si="3"/>
        <v>月</v>
      </c>
      <c r="C241" s="59" t="s">
        <v>16</v>
      </c>
      <c r="D241" s="54" t="s">
        <v>14</v>
      </c>
    </row>
    <row r="242" spans="1:4">
      <c r="A242" s="57">
        <v>49432</v>
      </c>
      <c r="B242" s="58" t="str">
        <f t="shared" si="3"/>
        <v>木</v>
      </c>
      <c r="C242" s="59" t="s">
        <v>19</v>
      </c>
      <c r="D242" s="54" t="s">
        <v>14</v>
      </c>
    </row>
    <row r="243" spans="1:4">
      <c r="A243" s="57">
        <v>49433</v>
      </c>
      <c r="B243" s="58" t="str">
        <f t="shared" si="3"/>
        <v>金</v>
      </c>
      <c r="C243" s="59" t="s">
        <v>20</v>
      </c>
      <c r="D243" s="54" t="s">
        <v>14</v>
      </c>
    </row>
    <row r="244" spans="1:4">
      <c r="A244" s="57">
        <v>49434</v>
      </c>
      <c r="B244" s="58" t="str">
        <f t="shared" si="3"/>
        <v>土</v>
      </c>
      <c r="C244" s="59" t="s">
        <v>21</v>
      </c>
      <c r="D244" s="54" t="s">
        <v>14</v>
      </c>
    </row>
    <row r="245" spans="1:4">
      <c r="A245" s="57">
        <v>49506</v>
      </c>
      <c r="B245" s="58" t="str">
        <f t="shared" si="3"/>
        <v>月</v>
      </c>
      <c r="C245" s="59" t="s">
        <v>22</v>
      </c>
      <c r="D245" s="54" t="s">
        <v>14</v>
      </c>
    </row>
    <row r="246" spans="1:4">
      <c r="A246" s="57">
        <v>49532</v>
      </c>
      <c r="B246" s="58" t="str">
        <f t="shared" si="3"/>
        <v>土</v>
      </c>
      <c r="C246" s="59" t="s">
        <v>23</v>
      </c>
      <c r="D246" s="54" t="s">
        <v>14</v>
      </c>
    </row>
    <row r="247" spans="1:4">
      <c r="A247" s="57">
        <v>49569</v>
      </c>
      <c r="B247" s="58" t="str">
        <f t="shared" si="3"/>
        <v>月</v>
      </c>
      <c r="C247" s="59" t="s">
        <v>24</v>
      </c>
      <c r="D247" s="54" t="s">
        <v>14</v>
      </c>
    </row>
    <row r="248" spans="1:4">
      <c r="A248" s="57">
        <v>49575</v>
      </c>
      <c r="B248" s="58" t="str">
        <f t="shared" si="3"/>
        <v>日</v>
      </c>
      <c r="C248" s="59" t="s">
        <v>25</v>
      </c>
      <c r="D248" s="54" t="s">
        <v>14</v>
      </c>
    </row>
    <row r="249" spans="1:4">
      <c r="A249" s="57">
        <v>49576</v>
      </c>
      <c r="B249" s="58" t="str">
        <f t="shared" si="3"/>
        <v>月</v>
      </c>
      <c r="C249" s="59" t="s">
        <v>16</v>
      </c>
      <c r="D249" s="54" t="s">
        <v>14</v>
      </c>
    </row>
    <row r="250" spans="1:4">
      <c r="A250" s="57">
        <v>49590</v>
      </c>
      <c r="B250" s="58" t="str">
        <f t="shared" si="3"/>
        <v>月</v>
      </c>
      <c r="C250" s="59" t="s">
        <v>26</v>
      </c>
      <c r="D250" s="54" t="s">
        <v>14</v>
      </c>
    </row>
    <row r="251" spans="1:4">
      <c r="A251" s="57">
        <v>49616</v>
      </c>
      <c r="B251" s="58" t="str">
        <f t="shared" si="3"/>
        <v>土</v>
      </c>
      <c r="C251" s="59" t="s">
        <v>27</v>
      </c>
      <c r="D251" s="54" t="s">
        <v>14</v>
      </c>
    </row>
    <row r="252" spans="1:4">
      <c r="A252" s="57">
        <v>49636</v>
      </c>
      <c r="B252" s="58" t="str">
        <f t="shared" si="3"/>
        <v>金</v>
      </c>
      <c r="C252" s="59" t="s">
        <v>28</v>
      </c>
      <c r="D252" s="54" t="s">
        <v>14</v>
      </c>
    </row>
    <row r="253" spans="1:4">
      <c r="A253" s="57"/>
      <c r="B253" s="58" t="str">
        <f t="shared" si="3"/>
        <v/>
      </c>
      <c r="C253" s="59"/>
      <c r="D253" s="60"/>
    </row>
    <row r="254" spans="1:4">
      <c r="A254" s="57"/>
      <c r="B254" s="58" t="str">
        <f t="shared" si="3"/>
        <v/>
      </c>
      <c r="C254" s="59"/>
      <c r="D254" s="61"/>
    </row>
    <row r="255" spans="1:4">
      <c r="A255" s="57"/>
      <c r="B255" s="58" t="str">
        <f t="shared" si="3"/>
        <v/>
      </c>
      <c r="C255" s="59"/>
      <c r="D255" s="61"/>
    </row>
    <row r="256" spans="1:4">
      <c r="A256" s="57"/>
      <c r="B256" s="58" t="str">
        <f t="shared" si="3"/>
        <v/>
      </c>
      <c r="C256" s="59"/>
      <c r="D256" s="61"/>
    </row>
    <row r="257" spans="1:4">
      <c r="A257" s="57"/>
      <c r="B257" s="58" t="str">
        <f t="shared" si="3"/>
        <v/>
      </c>
      <c r="C257" s="59"/>
      <c r="D257" s="61"/>
    </row>
    <row r="258" spans="1:4">
      <c r="A258" s="57"/>
      <c r="B258" s="58" t="str">
        <f t="shared" si="3"/>
        <v/>
      </c>
      <c r="C258" s="59"/>
      <c r="D258" s="61"/>
    </row>
    <row r="259" spans="1:4">
      <c r="A259" s="57"/>
      <c r="B259" s="58" t="str">
        <f t="shared" ref="B259:B322" si="4">IF(A259="","",TEXT(A259,"aaa"))</f>
        <v/>
      </c>
      <c r="C259" s="59"/>
      <c r="D259" s="61"/>
    </row>
    <row r="260" spans="1:4">
      <c r="A260" s="57"/>
      <c r="B260" s="58" t="str">
        <f t="shared" si="4"/>
        <v/>
      </c>
      <c r="C260" s="59"/>
      <c r="D260" s="61"/>
    </row>
    <row r="261" spans="1:4">
      <c r="A261" s="57"/>
      <c r="B261" s="58" t="str">
        <f t="shared" si="4"/>
        <v/>
      </c>
      <c r="C261" s="59"/>
      <c r="D261" s="61"/>
    </row>
    <row r="262" spans="1:4">
      <c r="A262" s="57"/>
      <c r="B262" s="58" t="str">
        <f t="shared" si="4"/>
        <v/>
      </c>
      <c r="C262" s="59"/>
      <c r="D262" s="61"/>
    </row>
    <row r="263" spans="1:4">
      <c r="A263" s="57"/>
      <c r="B263" s="58" t="str">
        <f t="shared" si="4"/>
        <v/>
      </c>
      <c r="C263" s="59"/>
      <c r="D263" s="61"/>
    </row>
    <row r="264" spans="1:4">
      <c r="A264" s="57"/>
      <c r="B264" s="58" t="str">
        <f t="shared" si="4"/>
        <v/>
      </c>
      <c r="C264" s="59"/>
      <c r="D264" s="61"/>
    </row>
    <row r="265" spans="1:4">
      <c r="A265" s="57"/>
      <c r="B265" s="58" t="str">
        <f t="shared" si="4"/>
        <v/>
      </c>
      <c r="C265" s="59"/>
      <c r="D265" s="61"/>
    </row>
    <row r="266" spans="1:4">
      <c r="A266" s="57"/>
      <c r="B266" s="58" t="str">
        <f t="shared" si="4"/>
        <v/>
      </c>
      <c r="C266" s="59"/>
      <c r="D266" s="61"/>
    </row>
    <row r="267" spans="1:4">
      <c r="A267" s="57"/>
      <c r="B267" s="58" t="str">
        <f t="shared" si="4"/>
        <v/>
      </c>
      <c r="C267" s="59"/>
      <c r="D267" s="61"/>
    </row>
    <row r="268" spans="1:4">
      <c r="A268" s="57"/>
      <c r="B268" s="58" t="str">
        <f t="shared" si="4"/>
        <v/>
      </c>
      <c r="C268" s="59"/>
      <c r="D268" s="61"/>
    </row>
    <row r="269" spans="1:4">
      <c r="A269" s="57"/>
      <c r="B269" s="58" t="str">
        <f t="shared" si="4"/>
        <v/>
      </c>
      <c r="C269" s="59"/>
      <c r="D269" s="61"/>
    </row>
    <row r="270" spans="1:4">
      <c r="A270" s="57"/>
      <c r="B270" s="58" t="str">
        <f t="shared" si="4"/>
        <v/>
      </c>
      <c r="C270" s="59"/>
      <c r="D270" s="61"/>
    </row>
    <row r="271" spans="1:4">
      <c r="A271" s="57"/>
      <c r="B271" s="58" t="str">
        <f t="shared" si="4"/>
        <v/>
      </c>
      <c r="C271" s="59"/>
      <c r="D271" s="61"/>
    </row>
    <row r="272" spans="1:4">
      <c r="A272" s="57"/>
      <c r="B272" s="58" t="str">
        <f t="shared" si="4"/>
        <v/>
      </c>
      <c r="C272" s="59"/>
      <c r="D272" s="61"/>
    </row>
    <row r="273" spans="1:4">
      <c r="A273" s="57"/>
      <c r="B273" s="58" t="str">
        <f t="shared" si="4"/>
        <v/>
      </c>
      <c r="C273" s="59"/>
      <c r="D273" s="61"/>
    </row>
    <row r="274" spans="1:4">
      <c r="A274" s="57"/>
      <c r="B274" s="58" t="str">
        <f t="shared" si="4"/>
        <v/>
      </c>
      <c r="C274" s="59"/>
      <c r="D274" s="61"/>
    </row>
    <row r="275" spans="1:4">
      <c r="A275" s="57"/>
      <c r="B275" s="58" t="str">
        <f t="shared" si="4"/>
        <v/>
      </c>
      <c r="C275" s="59"/>
      <c r="D275" s="61"/>
    </row>
    <row r="276" spans="1:4">
      <c r="A276" s="57"/>
      <c r="B276" s="58" t="str">
        <f t="shared" si="4"/>
        <v/>
      </c>
      <c r="C276" s="59"/>
      <c r="D276" s="61"/>
    </row>
    <row r="277" spans="1:4">
      <c r="A277" s="57"/>
      <c r="B277" s="58" t="str">
        <f t="shared" si="4"/>
        <v/>
      </c>
      <c r="C277" s="59"/>
      <c r="D277" s="61"/>
    </row>
    <row r="278" spans="1:4">
      <c r="A278" s="57"/>
      <c r="B278" s="58" t="str">
        <f t="shared" si="4"/>
        <v/>
      </c>
      <c r="C278" s="59"/>
      <c r="D278" s="61"/>
    </row>
    <row r="279" spans="1:4">
      <c r="A279" s="57"/>
      <c r="B279" s="58" t="str">
        <f t="shared" si="4"/>
        <v/>
      </c>
      <c r="C279" s="59"/>
      <c r="D279" s="61"/>
    </row>
    <row r="280" spans="1:4">
      <c r="A280" s="57"/>
      <c r="B280" s="58" t="str">
        <f t="shared" si="4"/>
        <v/>
      </c>
      <c r="C280" s="59"/>
      <c r="D280" s="61"/>
    </row>
    <row r="281" spans="1:4">
      <c r="A281" s="57"/>
      <c r="B281" s="58" t="str">
        <f t="shared" si="4"/>
        <v/>
      </c>
      <c r="C281" s="59"/>
      <c r="D281" s="61"/>
    </row>
    <row r="282" spans="1:4">
      <c r="A282" s="57"/>
      <c r="B282" s="58" t="str">
        <f t="shared" si="4"/>
        <v/>
      </c>
      <c r="C282" s="59"/>
      <c r="D282" s="61"/>
    </row>
    <row r="283" spans="1:4">
      <c r="A283" s="57"/>
      <c r="B283" s="58" t="str">
        <f t="shared" si="4"/>
        <v/>
      </c>
      <c r="C283" s="59"/>
      <c r="D283" s="61"/>
    </row>
    <row r="284" spans="1:4">
      <c r="A284" s="57"/>
      <c r="B284" s="58" t="str">
        <f t="shared" si="4"/>
        <v/>
      </c>
      <c r="C284" s="59"/>
      <c r="D284" s="61"/>
    </row>
    <row r="285" spans="1:4">
      <c r="A285" s="57"/>
      <c r="B285" s="58" t="str">
        <f t="shared" si="4"/>
        <v/>
      </c>
      <c r="C285" s="59"/>
      <c r="D285" s="61"/>
    </row>
    <row r="286" spans="1:4">
      <c r="A286" s="57"/>
      <c r="B286" s="58" t="str">
        <f t="shared" si="4"/>
        <v/>
      </c>
      <c r="C286" s="59"/>
      <c r="D286" s="61"/>
    </row>
    <row r="287" spans="1:4">
      <c r="A287" s="57"/>
      <c r="B287" s="58" t="str">
        <f t="shared" si="4"/>
        <v/>
      </c>
      <c r="C287" s="59"/>
      <c r="D287" s="61"/>
    </row>
    <row r="288" spans="1:4">
      <c r="A288" s="57"/>
      <c r="B288" s="58" t="str">
        <f t="shared" si="4"/>
        <v/>
      </c>
      <c r="C288" s="59"/>
      <c r="D288" s="61"/>
    </row>
    <row r="289" spans="1:4">
      <c r="A289" s="57"/>
      <c r="B289" s="58" t="str">
        <f t="shared" si="4"/>
        <v/>
      </c>
      <c r="C289" s="59"/>
      <c r="D289" s="61"/>
    </row>
    <row r="290" spans="1:4">
      <c r="A290" s="57"/>
      <c r="B290" s="58" t="str">
        <f t="shared" si="4"/>
        <v/>
      </c>
      <c r="C290" s="59"/>
      <c r="D290" s="61"/>
    </row>
    <row r="291" spans="1:4">
      <c r="A291" s="57"/>
      <c r="B291" s="58" t="str">
        <f t="shared" si="4"/>
        <v/>
      </c>
      <c r="C291" s="59"/>
      <c r="D291" s="61"/>
    </row>
    <row r="292" spans="1:4">
      <c r="A292" s="57"/>
      <c r="B292" s="58" t="str">
        <f t="shared" si="4"/>
        <v/>
      </c>
      <c r="C292" s="59"/>
      <c r="D292" s="61"/>
    </row>
    <row r="293" spans="1:4">
      <c r="A293" s="57"/>
      <c r="B293" s="58" t="str">
        <f t="shared" si="4"/>
        <v/>
      </c>
      <c r="C293" s="59"/>
      <c r="D293" s="61"/>
    </row>
    <row r="294" spans="1:4">
      <c r="A294" s="57"/>
      <c r="B294" s="58" t="str">
        <f t="shared" si="4"/>
        <v/>
      </c>
      <c r="C294" s="59"/>
      <c r="D294" s="61"/>
    </row>
    <row r="295" spans="1:4">
      <c r="A295" s="57"/>
      <c r="B295" s="58" t="str">
        <f t="shared" si="4"/>
        <v/>
      </c>
      <c r="C295" s="59"/>
      <c r="D295" s="61"/>
    </row>
    <row r="296" spans="1:4">
      <c r="A296" s="57"/>
      <c r="B296" s="58" t="str">
        <f t="shared" si="4"/>
        <v/>
      </c>
      <c r="C296" s="59"/>
      <c r="D296" s="61"/>
    </row>
    <row r="297" spans="1:4">
      <c r="A297" s="57"/>
      <c r="B297" s="58" t="str">
        <f t="shared" si="4"/>
        <v/>
      </c>
      <c r="C297" s="59"/>
      <c r="D297" s="61"/>
    </row>
    <row r="298" spans="1:4">
      <c r="A298" s="57"/>
      <c r="B298" s="58" t="str">
        <f t="shared" si="4"/>
        <v/>
      </c>
      <c r="C298" s="59"/>
      <c r="D298" s="61"/>
    </row>
    <row r="299" spans="1:4">
      <c r="A299" s="57"/>
      <c r="B299" s="58" t="str">
        <f t="shared" si="4"/>
        <v/>
      </c>
      <c r="C299" s="59"/>
      <c r="D299" s="61"/>
    </row>
    <row r="300" spans="1:4">
      <c r="A300" s="57"/>
      <c r="B300" s="58" t="str">
        <f t="shared" si="4"/>
        <v/>
      </c>
      <c r="C300" s="59"/>
      <c r="D300" s="61"/>
    </row>
    <row r="301" spans="1:4">
      <c r="A301" s="57"/>
      <c r="B301" s="58" t="str">
        <f t="shared" si="4"/>
        <v/>
      </c>
      <c r="C301" s="59"/>
      <c r="D301" s="61"/>
    </row>
    <row r="302" spans="1:4">
      <c r="A302" s="57"/>
      <c r="B302" s="58" t="str">
        <f t="shared" si="4"/>
        <v/>
      </c>
      <c r="C302" s="59"/>
      <c r="D302" s="61"/>
    </row>
    <row r="303" spans="1:4">
      <c r="A303" s="57"/>
      <c r="B303" s="58" t="str">
        <f t="shared" si="4"/>
        <v/>
      </c>
      <c r="C303" s="59"/>
      <c r="D303" s="61"/>
    </row>
    <row r="304" spans="1:4">
      <c r="A304" s="57"/>
      <c r="B304" s="58" t="str">
        <f t="shared" si="4"/>
        <v/>
      </c>
      <c r="C304" s="59"/>
      <c r="D304" s="61"/>
    </row>
    <row r="305" spans="1:4">
      <c r="A305" s="57"/>
      <c r="B305" s="58" t="str">
        <f t="shared" si="4"/>
        <v/>
      </c>
      <c r="C305" s="59"/>
      <c r="D305" s="61"/>
    </row>
    <row r="306" spans="1:4">
      <c r="A306" s="57"/>
      <c r="B306" s="58" t="str">
        <f t="shared" si="4"/>
        <v/>
      </c>
      <c r="C306" s="59"/>
      <c r="D306" s="61"/>
    </row>
    <row r="307" spans="1:4">
      <c r="A307" s="57"/>
      <c r="B307" s="58" t="str">
        <f t="shared" si="4"/>
        <v/>
      </c>
      <c r="C307" s="59"/>
      <c r="D307" s="61"/>
    </row>
    <row r="308" spans="1:4">
      <c r="A308" s="57"/>
      <c r="B308" s="58" t="str">
        <f t="shared" si="4"/>
        <v/>
      </c>
      <c r="C308" s="59"/>
      <c r="D308" s="61"/>
    </row>
    <row r="309" spans="1:4">
      <c r="A309" s="57"/>
      <c r="B309" s="58" t="str">
        <f t="shared" si="4"/>
        <v/>
      </c>
      <c r="C309" s="59"/>
      <c r="D309" s="61"/>
    </row>
    <row r="310" spans="1:4">
      <c r="A310" s="57"/>
      <c r="B310" s="58" t="str">
        <f t="shared" si="4"/>
        <v/>
      </c>
      <c r="C310" s="59"/>
      <c r="D310" s="61"/>
    </row>
    <row r="311" spans="1:4">
      <c r="A311" s="57"/>
      <c r="B311" s="58" t="str">
        <f t="shared" si="4"/>
        <v/>
      </c>
      <c r="C311" s="59"/>
      <c r="D311" s="61"/>
    </row>
    <row r="312" spans="1:4">
      <c r="A312" s="57"/>
      <c r="B312" s="58" t="str">
        <f t="shared" si="4"/>
        <v/>
      </c>
      <c r="C312" s="59"/>
      <c r="D312" s="61"/>
    </row>
    <row r="313" spans="1:4">
      <c r="A313" s="57"/>
      <c r="B313" s="58" t="str">
        <f t="shared" si="4"/>
        <v/>
      </c>
      <c r="C313" s="59"/>
      <c r="D313" s="61"/>
    </row>
    <row r="314" spans="1:4">
      <c r="A314" s="57"/>
      <c r="B314" s="58" t="str">
        <f t="shared" si="4"/>
        <v/>
      </c>
      <c r="C314" s="59"/>
      <c r="D314" s="61"/>
    </row>
    <row r="315" spans="1:4">
      <c r="A315" s="57"/>
      <c r="B315" s="58" t="str">
        <f t="shared" si="4"/>
        <v/>
      </c>
      <c r="C315" s="59"/>
      <c r="D315" s="61"/>
    </row>
    <row r="316" spans="1:4">
      <c r="A316" s="57"/>
      <c r="B316" s="58" t="str">
        <f t="shared" si="4"/>
        <v/>
      </c>
      <c r="C316" s="59"/>
      <c r="D316" s="61"/>
    </row>
    <row r="317" spans="1:4">
      <c r="A317" s="57"/>
      <c r="B317" s="58" t="str">
        <f t="shared" si="4"/>
        <v/>
      </c>
      <c r="C317" s="59"/>
      <c r="D317" s="61"/>
    </row>
    <row r="318" spans="1:4">
      <c r="A318" s="57"/>
      <c r="B318" s="58" t="str">
        <f t="shared" si="4"/>
        <v/>
      </c>
      <c r="C318" s="59"/>
      <c r="D318" s="61"/>
    </row>
    <row r="319" spans="1:4">
      <c r="A319" s="57"/>
      <c r="B319" s="58" t="str">
        <f t="shared" si="4"/>
        <v/>
      </c>
      <c r="C319" s="59"/>
      <c r="D319" s="61"/>
    </row>
    <row r="320" spans="1:4">
      <c r="A320" s="57"/>
      <c r="B320" s="58" t="str">
        <f t="shared" si="4"/>
        <v/>
      </c>
      <c r="C320" s="59"/>
      <c r="D320" s="61"/>
    </row>
    <row r="321" spans="1:4">
      <c r="A321" s="57"/>
      <c r="B321" s="58" t="str">
        <f t="shared" si="4"/>
        <v/>
      </c>
      <c r="C321" s="59"/>
      <c r="D321" s="61"/>
    </row>
    <row r="322" spans="1:4">
      <c r="A322" s="57"/>
      <c r="B322" s="58" t="str">
        <f t="shared" si="4"/>
        <v/>
      </c>
      <c r="C322" s="59"/>
      <c r="D322" s="61"/>
    </row>
    <row r="323" spans="1:4">
      <c r="A323" s="57"/>
      <c r="B323" s="58" t="str">
        <f t="shared" ref="B323:B367" si="5">IF(A323="","",TEXT(A323,"aaa"))</f>
        <v/>
      </c>
      <c r="C323" s="59"/>
      <c r="D323" s="61"/>
    </row>
    <row r="324" spans="1:4">
      <c r="A324" s="57"/>
      <c r="B324" s="58" t="str">
        <f t="shared" si="5"/>
        <v/>
      </c>
      <c r="C324" s="59"/>
      <c r="D324" s="61"/>
    </row>
    <row r="325" spans="1:4">
      <c r="A325" s="57"/>
      <c r="B325" s="58" t="str">
        <f t="shared" si="5"/>
        <v/>
      </c>
      <c r="C325" s="59"/>
      <c r="D325" s="61"/>
    </row>
    <row r="326" spans="1:4">
      <c r="A326" s="57"/>
      <c r="B326" s="58" t="str">
        <f t="shared" si="5"/>
        <v/>
      </c>
      <c r="C326" s="59"/>
      <c r="D326" s="61"/>
    </row>
    <row r="327" spans="1:4">
      <c r="A327" s="57"/>
      <c r="B327" s="58" t="str">
        <f t="shared" si="5"/>
        <v/>
      </c>
      <c r="C327" s="59"/>
      <c r="D327" s="61"/>
    </row>
    <row r="328" spans="1:4">
      <c r="A328" s="57"/>
      <c r="B328" s="58" t="str">
        <f t="shared" si="5"/>
        <v/>
      </c>
      <c r="C328" s="59"/>
      <c r="D328" s="61"/>
    </row>
    <row r="329" spans="1:4">
      <c r="A329" s="57"/>
      <c r="B329" s="58" t="str">
        <f t="shared" si="5"/>
        <v/>
      </c>
      <c r="C329" s="59"/>
      <c r="D329" s="61"/>
    </row>
    <row r="330" spans="1:4">
      <c r="A330" s="57"/>
      <c r="B330" s="58" t="str">
        <f t="shared" si="5"/>
        <v/>
      </c>
      <c r="C330" s="59"/>
      <c r="D330" s="61"/>
    </row>
    <row r="331" spans="1:4">
      <c r="A331" s="57"/>
      <c r="B331" s="58" t="str">
        <f t="shared" si="5"/>
        <v/>
      </c>
      <c r="C331" s="59"/>
      <c r="D331" s="61"/>
    </row>
    <row r="332" spans="1:4">
      <c r="A332" s="57"/>
      <c r="B332" s="58" t="str">
        <f t="shared" si="5"/>
        <v/>
      </c>
      <c r="C332" s="59"/>
      <c r="D332" s="61"/>
    </row>
    <row r="333" spans="1:4">
      <c r="A333" s="57"/>
      <c r="B333" s="58" t="str">
        <f t="shared" si="5"/>
        <v/>
      </c>
      <c r="C333" s="59"/>
      <c r="D333" s="61"/>
    </row>
    <row r="334" spans="1:4">
      <c r="A334" s="57"/>
      <c r="B334" s="58" t="str">
        <f t="shared" si="5"/>
        <v/>
      </c>
      <c r="C334" s="59"/>
      <c r="D334" s="61"/>
    </row>
    <row r="335" spans="1:4">
      <c r="A335" s="57"/>
      <c r="B335" s="58" t="str">
        <f t="shared" si="5"/>
        <v/>
      </c>
      <c r="C335" s="59"/>
      <c r="D335" s="61"/>
    </row>
    <row r="336" spans="1:4">
      <c r="A336" s="57"/>
      <c r="B336" s="58" t="str">
        <f t="shared" si="5"/>
        <v/>
      </c>
      <c r="C336" s="59"/>
      <c r="D336" s="61"/>
    </row>
    <row r="337" spans="1:4">
      <c r="A337" s="57"/>
      <c r="B337" s="58" t="str">
        <f t="shared" si="5"/>
        <v/>
      </c>
      <c r="C337" s="59"/>
      <c r="D337" s="61"/>
    </row>
    <row r="338" spans="1:4">
      <c r="A338" s="57"/>
      <c r="B338" s="58" t="str">
        <f t="shared" si="5"/>
        <v/>
      </c>
      <c r="C338" s="59"/>
      <c r="D338" s="61"/>
    </row>
    <row r="339" spans="1:4">
      <c r="A339" s="57"/>
      <c r="B339" s="58" t="str">
        <f t="shared" si="5"/>
        <v/>
      </c>
      <c r="C339" s="59"/>
      <c r="D339" s="61"/>
    </row>
    <row r="340" spans="1:4">
      <c r="A340" s="57"/>
      <c r="B340" s="58" t="str">
        <f t="shared" si="5"/>
        <v/>
      </c>
      <c r="C340" s="59"/>
      <c r="D340" s="61"/>
    </row>
    <row r="341" spans="1:4">
      <c r="A341" s="57"/>
      <c r="B341" s="58" t="str">
        <f t="shared" si="5"/>
        <v/>
      </c>
      <c r="C341" s="59"/>
      <c r="D341" s="61"/>
    </row>
    <row r="342" spans="1:4">
      <c r="A342" s="57"/>
      <c r="B342" s="58" t="str">
        <f t="shared" si="5"/>
        <v/>
      </c>
      <c r="C342" s="59"/>
      <c r="D342" s="61"/>
    </row>
    <row r="343" spans="1:4">
      <c r="A343" s="57"/>
      <c r="B343" s="58" t="str">
        <f t="shared" si="5"/>
        <v/>
      </c>
      <c r="C343" s="59"/>
      <c r="D343" s="61"/>
    </row>
    <row r="344" spans="1:4">
      <c r="A344" s="57"/>
      <c r="B344" s="58" t="str">
        <f t="shared" si="5"/>
        <v/>
      </c>
      <c r="C344" s="59"/>
      <c r="D344" s="61"/>
    </row>
    <row r="345" spans="1:4">
      <c r="A345" s="57"/>
      <c r="B345" s="58" t="str">
        <f t="shared" si="5"/>
        <v/>
      </c>
      <c r="C345" s="59"/>
      <c r="D345" s="61"/>
    </row>
    <row r="346" spans="1:4">
      <c r="A346" s="57"/>
      <c r="B346" s="58" t="str">
        <f t="shared" si="5"/>
        <v/>
      </c>
      <c r="C346" s="59"/>
      <c r="D346" s="61"/>
    </row>
    <row r="347" spans="1:4">
      <c r="A347" s="57"/>
      <c r="B347" s="58" t="str">
        <f t="shared" si="5"/>
        <v/>
      </c>
      <c r="C347" s="59"/>
      <c r="D347" s="61"/>
    </row>
    <row r="348" spans="1:4">
      <c r="A348" s="57"/>
      <c r="B348" s="58" t="str">
        <f t="shared" si="5"/>
        <v/>
      </c>
      <c r="C348" s="59"/>
      <c r="D348" s="61"/>
    </row>
    <row r="349" spans="1:4">
      <c r="A349" s="57"/>
      <c r="B349" s="58" t="str">
        <f t="shared" si="5"/>
        <v/>
      </c>
      <c r="C349" s="59"/>
      <c r="D349" s="61"/>
    </row>
    <row r="350" spans="1:4">
      <c r="A350" s="57"/>
      <c r="B350" s="58" t="str">
        <f t="shared" si="5"/>
        <v/>
      </c>
      <c r="C350" s="59"/>
      <c r="D350" s="61"/>
    </row>
    <row r="351" spans="1:4">
      <c r="A351" s="57"/>
      <c r="B351" s="58" t="str">
        <f t="shared" si="5"/>
        <v/>
      </c>
      <c r="C351" s="59"/>
      <c r="D351" s="61"/>
    </row>
    <row r="352" spans="1:4">
      <c r="A352" s="57"/>
      <c r="B352" s="58" t="str">
        <f t="shared" si="5"/>
        <v/>
      </c>
      <c r="C352" s="59"/>
      <c r="D352" s="61"/>
    </row>
    <row r="353" spans="1:4">
      <c r="A353" s="57"/>
      <c r="B353" s="58" t="str">
        <f t="shared" si="5"/>
        <v/>
      </c>
      <c r="C353" s="59"/>
      <c r="D353" s="61"/>
    </row>
    <row r="354" spans="1:4">
      <c r="A354" s="57"/>
      <c r="B354" s="58" t="str">
        <f t="shared" si="5"/>
        <v/>
      </c>
      <c r="C354" s="59"/>
      <c r="D354" s="61"/>
    </row>
    <row r="355" spans="1:4">
      <c r="A355" s="57"/>
      <c r="B355" s="58" t="str">
        <f t="shared" si="5"/>
        <v/>
      </c>
      <c r="C355" s="59"/>
      <c r="D355" s="61"/>
    </row>
    <row r="356" spans="1:4">
      <c r="A356" s="57"/>
      <c r="B356" s="58" t="str">
        <f t="shared" si="5"/>
        <v/>
      </c>
      <c r="C356" s="59"/>
      <c r="D356" s="61"/>
    </row>
    <row r="357" spans="1:4">
      <c r="A357" s="57"/>
      <c r="B357" s="58" t="str">
        <f t="shared" si="5"/>
        <v/>
      </c>
      <c r="C357" s="59"/>
      <c r="D357" s="61"/>
    </row>
    <row r="358" spans="1:4">
      <c r="A358" s="57"/>
      <c r="B358" s="58" t="str">
        <f t="shared" si="5"/>
        <v/>
      </c>
      <c r="C358" s="59"/>
      <c r="D358" s="61"/>
    </row>
    <row r="359" spans="1:4">
      <c r="A359" s="57"/>
      <c r="B359" s="58" t="str">
        <f t="shared" si="5"/>
        <v/>
      </c>
      <c r="C359" s="59"/>
      <c r="D359" s="61"/>
    </row>
    <row r="360" spans="1:4">
      <c r="A360" s="57"/>
      <c r="B360" s="58" t="str">
        <f t="shared" si="5"/>
        <v/>
      </c>
      <c r="C360" s="59"/>
      <c r="D360" s="61"/>
    </row>
    <row r="361" spans="1:4">
      <c r="A361" s="57"/>
      <c r="B361" s="58" t="str">
        <f t="shared" si="5"/>
        <v/>
      </c>
      <c r="C361" s="59"/>
      <c r="D361" s="61"/>
    </row>
    <row r="362" spans="1:4">
      <c r="A362" s="57"/>
      <c r="B362" s="58" t="str">
        <f t="shared" si="5"/>
        <v/>
      </c>
      <c r="C362" s="59"/>
      <c r="D362" s="61"/>
    </row>
    <row r="363" spans="1:4">
      <c r="A363" s="57"/>
      <c r="B363" s="58" t="str">
        <f t="shared" si="5"/>
        <v/>
      </c>
      <c r="C363" s="59"/>
      <c r="D363" s="61"/>
    </row>
    <row r="364" spans="1:4">
      <c r="A364" s="57"/>
      <c r="B364" s="58" t="str">
        <f t="shared" si="5"/>
        <v/>
      </c>
      <c r="C364" s="59"/>
      <c r="D364" s="61"/>
    </row>
    <row r="365" spans="1:4">
      <c r="A365" s="57"/>
      <c r="B365" s="58" t="str">
        <f t="shared" si="5"/>
        <v/>
      </c>
      <c r="C365" s="59"/>
      <c r="D365" s="61"/>
    </row>
    <row r="366" spans="1:4">
      <c r="A366" s="57"/>
      <c r="B366" s="58" t="str">
        <f t="shared" si="5"/>
        <v/>
      </c>
      <c r="C366" s="59"/>
      <c r="D366" s="61"/>
    </row>
    <row r="367" spans="1:4">
      <c r="A367" s="57"/>
      <c r="B367" s="58" t="str">
        <f t="shared" si="5"/>
        <v/>
      </c>
      <c r="C367" s="59"/>
      <c r="D367" s="61"/>
    </row>
  </sheetData>
  <phoneticPr fontId="1"/>
  <dataValidations count="1">
    <dataValidation type="list" allowBlank="1" showInputMessage="1" showErrorMessage="1" sqref="D2:D367" xr:uid="{00000000-0002-0000-0700-000000000000}">
      <formula1>"休日"</formula1>
    </dataValidation>
  </dataValidations>
  <hyperlinks>
    <hyperlink ref="D153" location="休日設定!A311" display="下へ" xr:uid="{00000000-0004-0000-0700-000000000000}"/>
  </hyperlinks>
  <pageMargins left="0.75" right="0.75" top="1" bottom="1" header="0.51200000000000001" footer="0.51200000000000001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E46E993C27AF7F499767541DC7B50DE2" ma:contentTypeVersion="18" ma:contentTypeDescription="新しいドキュメントを作成します。" ma:contentTypeScope="" ma:versionID="9340894881d4c188bf1a1e211dcd7f7d">
  <xsd:schema xmlns:xsd="http://www.w3.org/2001/XMLSchema" xmlns:xs="http://www.w3.org/2001/XMLSchema" xmlns:p="http://schemas.microsoft.com/office/2006/metadata/properties" xmlns:ns2="7ac7a35b-2f2a-468d-8a34-62fac0a17931" xmlns:ns3="a651f457-c549-49c0-9bde-81e12bf12232" targetNamespace="http://schemas.microsoft.com/office/2006/metadata/properties" ma:root="true" ma:fieldsID="f16c4e0bc2d6e2e1768df3f345aaac58" ns2:_="" ns3:_="">
    <xsd:import namespace="7ac7a35b-2f2a-468d-8a34-62fac0a17931"/>
    <xsd:import namespace="a651f457-c549-49c0-9bde-81e12bf122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c7a35b-2f2a-468d-8a34-62fac0a179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画像タグ" ma:readOnly="false" ma:fieldId="{5cf76f15-5ced-4ddc-b409-7134ff3c332f}" ma:taxonomyMulti="true" ma:sspId="51f8c46f-6987-402e-b83f-c0c308fea0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1f457-c549-49c0-9bde-81e12bf122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26bd071-eb29-40bb-afd1-494f76fdb952}" ma:internalName="TaxCatchAll" ma:showField="CatchAllData" ma:web="a651f457-c549-49c0-9bde-81e12bf122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651f457-c549-49c0-9bde-81e12bf12232" xsi:nil="true"/>
    <lcf76f155ced4ddcb4097134ff3c332f xmlns="7ac7a35b-2f2a-468d-8a34-62fac0a179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331AAAA-302A-4DFA-93E6-084F4EC9422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C421B45-5B95-4BA5-B436-7C803C612C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c7a35b-2f2a-468d-8a34-62fac0a17931"/>
    <ds:schemaRef ds:uri="a651f457-c549-49c0-9bde-81e12bf122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2AA02-9589-4EBF-AE06-2B27AE5901E3}">
  <ds:schemaRefs>
    <ds:schemaRef ds:uri="7ac7a35b-2f2a-468d-8a34-62fac0a17931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  <ds:schemaRef ds:uri="a651f457-c549-49c0-9bde-81e12bf12232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リンク用</vt:lpstr>
      <vt:lpstr>時間割</vt:lpstr>
      <vt:lpstr>年間</vt:lpstr>
      <vt:lpstr>祝日リスト</vt:lpstr>
      <vt:lpstr>行事予定(一覧)</vt:lpstr>
      <vt:lpstr>1週目</vt:lpstr>
      <vt:lpstr>自由</vt:lpstr>
      <vt:lpstr>休日設定</vt:lpstr>
      <vt:lpstr>'1週目'!Print_Area</vt:lpstr>
      <vt:lpstr>リンク用!Print_Area</vt:lpstr>
      <vt:lpstr>'行事予定(一覧)'!Print_Area</vt:lpstr>
      <vt:lpstr>自由!Print_Area</vt:lpstr>
      <vt:lpstr>年間!Print_Area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伊神　孟</dc:creator>
  <cp:keywords/>
  <dc:description/>
  <cp:lastModifiedBy>伊神　孟</cp:lastModifiedBy>
  <cp:revision/>
  <cp:lastPrinted>2025-04-01T09:12:53Z</cp:lastPrinted>
  <dcterms:created xsi:type="dcterms:W3CDTF">2024-05-04T05:55:12Z</dcterms:created>
  <dcterms:modified xsi:type="dcterms:W3CDTF">2026-08-27T02:28:09Z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0x010100E46E993C27AF7F499767541DC7B50DE2</vt:lpwstr>
  </property>
  <property fmtid="{D5CDD505-2E9C-101B-9397-08002B2CF9AE}" pid="3" name="MediaServiceImageTags">
    <vt:lpwstr/>
  </property>
</Properties>
</file>